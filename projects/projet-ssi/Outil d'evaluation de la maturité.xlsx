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helle de maturité" sheetId="1" r:id="rId5"/>
    <sheet state="visible" name="Guide dhygiène informatique ANS" sheetId="2" r:id="rId6"/>
    <sheet state="visible" name="Dashboard guide de lANSSI" sheetId="3" r:id="rId7"/>
    <sheet state="visible" name="DORA" sheetId="4" r:id="rId8"/>
    <sheet state="visible" name="Dashboard Dora" sheetId="5" r:id="rId9"/>
    <sheet state="visible" name="NIS2" sheetId="6" r:id="rId10"/>
    <sheet state="visible" name="Dashboard NIS2" sheetId="7" r:id="rId11"/>
    <sheet state="visible" name="CIS Controls" sheetId="8" r:id="rId12"/>
    <sheet state="hidden" name="TCD CIS Controls" sheetId="9" r:id="rId13"/>
    <sheet state="visible" name="Dashboard CIS Controls" sheetId="10" r:id="rId14"/>
  </sheets>
  <definedNames>
    <definedName hidden="1" localSheetId="1" name="Z_AA74A519_B95B_49EF_8B25_E9D3BF3B0FDD_.wvu.FilterData">'Guide dhygiène informatique ANS'!$A$3:$K$46</definedName>
    <definedName hidden="1" localSheetId="3" name="Z_AA74A519_B95B_49EF_8B25_E9D3BF3B0FDD_.wvu.FilterData">DORA!$A$2:$L$34</definedName>
    <definedName hidden="1" localSheetId="5" name="Z_AA74A519_B95B_49EF_8B25_E9D3BF3B0FDD_.wvu.FilterData">'NIS2'!$A$2:$J$46</definedName>
    <definedName hidden="1" localSheetId="7" name="Z_AA74A519_B95B_49EF_8B25_E9D3BF3B0FDD_.wvu.FilterData">'CIS Controls'!$A$2:$R$63</definedName>
    <definedName hidden="1" localSheetId="7" name="Z_AA74A519_B95B_49EF_8B25_E9D3BF3B0FDD_.wvu.FilterData">'CIS Controls'!$A$2:$M$63</definedName>
    <definedName hidden="1" localSheetId="8" name="Z_AA74A519_B95B_49EF_8B25_E9D3BF3B0FDD_.wvu.FilterData">'TCD CIS Controls'!$A$2:$H$20</definedName>
    <definedName hidden="1" localSheetId="8" name="Z_AA74A519_B95B_49EF_8B25_E9D3BF3B0FDD_.wvu.FilterData">'TCD CIS Controls'!$A$2:$H$20</definedName>
    <definedName name="SlicerCache_Table_1_Col_1">#N/A</definedName>
  </definedNames>
  <calcPr/>
  <customWorkbookViews>
    <customWorkbookView activeSheetId="0" maximized="1" windowHeight="0" windowWidth="0" guid="{AA74A519-B95B-49EF-8B25-E9D3BF3B0FDD}" name="Filtre 1"/>
  </customWorkbookViews>
  <pivotCaches>
    <pivotCache cacheId="0" r:id="rId15"/>
    <pivotCache cacheId="1" r:id="rId16"/>
    <pivotCache cacheId="2" r:id="rId17"/>
  </pivotCaches>
  <extLst>
    <ext uri="{46BE6895-7355-4a93-B00E-2C351335B9C9}">
      <x15:slicerCaches>
        <x14:slicerCache r:id="rId18"/>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Élaborer un plan pour évaluer et suivre en permanence les vulnérabilités de tous les actifs de l'entreprise au sein de son infrastructure, afin d'y remédier et de réduire au minimum la fenêtre d'opportunité pour les attaquants. Surveiller les sources industrielles publiques et privées pour obtenir de nouvelles informations sur les menaces et les vulnérabilités.</t>
      </text>
    </comment>
    <comment authorId="0" ref="A57">
      <text>
        <t xml:space="preserve">Établir un programme pour développer et maintenir une capacité de réponse aux incidents (par exemple, des politiques, des plans, des procédures, des rôles définis, une formation et des communications) pour préparer, détecter et répondre rapidement à une attaque.</t>
      </text>
    </comment>
    <comment authorId="0" ref="A55">
      <text>
        <t xml:space="preserve">Gérer le cycle de vie de la sécurité des logiciels développés en interne, hébergés ou acquis pour prévenir, détecter et corriger les faiblesses de sécurité avant qu'elles n'aient un impact sur l'entreprise.</t>
      </text>
    </comment>
    <comment authorId="0" ref="A53">
      <text>
        <t xml:space="preserve">Développer un processus d'évaluation des fournisseurs de services qui détiennent des données sensibles ou qui sont responsables des plates-formes ou des processus informatiques critiques d'une entreprise, afin de s'assurer que ces fournisseurs protègent ces plates-formes et ces données de manière appropriée.</t>
      </text>
    </comment>
    <comment authorId="0" ref="A51">
      <text>
        <t xml:space="preserve">Mettre en place et maintenir un programme de sensibilisation à la sécurité afin d'influencer le comportement du personnel pour qu'il soit conscient de la sécurité et qu'il dispose des compétences nécessaires pour réduire les risques de cybersécurité pour l'entreprise.</t>
      </text>
    </comment>
    <comment authorId="0" ref="A49">
      <text>
        <t xml:space="preserve">Utiliser des processus et des outils pour mettre en place et maintenir une surveillance complète du réseau et une défense contre les menaces de sécurité dans l'infrastructure du réseau de l'entreprise et la base d'utilisateurs.</t>
      </text>
    </comment>
    <comment authorId="0" ref="A47">
      <text>
        <t xml:space="preserve">Établir, mettre en œuvre et gérer activement (suivre, signaler, corriger) les dispositifs de réseau, afin d'empêcher les attaquants d'exploiter les services de réseau et les points d'accès vulnérables.</t>
      </text>
    </comment>
    <comment authorId="0" ref="A8">
      <text>
        <t xml:space="preserve">Gérer activement (inventorier, suivre et corriger) tous les logiciels (systèmes d'exploitation et applications) sur le réseau afin que seuls les logiciels autorisés soient installés et puissent s'exécuter, et que les logiciels non autorisés et non gérés soient détectés et empêchés d'être installés ou exécutés.</t>
      </text>
    </comment>
    <comment authorId="0" ref="A39">
      <text>
        <t xml:space="preserve">Empêcher ou contrôler l'installation, la diffusion et l'exécution d'applications, de codes ou de scripts malveillants sur les actifs de l'entreprise.</t>
      </text>
    </comment>
    <comment authorId="0" ref="A37">
      <text>
        <t xml:space="preserve">Améliorer la protection et la détection des menaces provenant du courrier électronique et des vecteurs web, car ce sont des occasions pour les attaquants de manipuler le comportement humain par le biais d'un engagement direct.</t>
      </text>
    </comment>
    <comment authorId="0" ref="A2">
      <text>
        <t xml:space="preserve">Le nom du domaine</t>
      </text>
    </comment>
    <comment authorId="0" ref="B2">
      <text>
        <t xml:space="preserve">Le nom du domaine</t>
      </text>
    </comment>
    <comment authorId="0" ref="C2">
      <text>
        <t xml:space="preserve">Le numéro du domaine principal CIS</t>
      </text>
    </comment>
    <comment authorId="0" ref="D2">
      <text>
        <t xml:space="preserve">L'identifiant précis de la sous-mesure (Safeguard)</t>
      </text>
    </comment>
    <comment authorId="0" ref="E2">
      <text>
        <t xml:space="preserve">L'identifiant précis de la sous-mesure (Safeguard)</t>
      </text>
    </comment>
    <comment authorId="0" ref="A60">
      <text>
        <t xml:space="preserve">Tester l'efficacité et la résilience des actifs de l'entreprise en identifiant et en exploitant les faiblesses des contrôles (personnes, processus et technologie) et en simulant les objectifs et les actions d'un attaquant.</t>
      </text>
    </comment>
    <comment authorId="0" ref="A27">
      <text>
        <t xml:space="preserve">Utiliser des processus et des outils pour créer, attribuer, gérer et révoquer les références d'accès et les privilèges des comptes d'utilisateurs, d'administrateurs et de services pour les biens et les logiciels de l'entreprise.</t>
      </text>
    </comment>
    <comment authorId="0" ref="J2">
      <text>
        <t xml:space="preserve">Le niveau d'exigence (IG1 = base, IG2 = avancé, IG3 = expert)</t>
      </text>
    </comment>
    <comment authorId="0" ref="A23">
      <text>
        <t xml:space="preserve">Utiliser des processus et des outils pour attribuer et gérer les autorisations des comptes d'utilisateurs, y compris les comptes d'administrateurs, ainsi que les comptes de service, pour les biens et les logiciels de l'entreprise.</t>
      </text>
    </comment>
    <comment authorId="0" ref="L2">
      <text>
        <t xml:space="preserve">Justification de la note (nom du document, outil utilisé)</t>
      </text>
    </comment>
    <comment authorId="0" ref="M2">
      <text>
        <t xml:space="preserve">Ce qu'il reste à faire pour atteindre le niveau supérieur</t>
      </text>
    </comment>
    <comment authorId="0" ref="A21">
      <text>
        <t xml:space="preserve">Établir et maintenir la configuration sécurisée des actifs de l'entreprise (dispositifs de l'utilisateur final, y compris portables et mobiles ; dispositifs de réseau ; dispositifs non informatiques/IoT ; et serveurs) et des logiciels (systèmes d'exploitation et applications).</t>
      </text>
    </comment>
    <comment authorId="0" ref="A15">
      <text>
        <t xml:space="preserve">Développer des processus et des contrôles techniques pour identifier, classer, traiter, conserver et éliminer les données en toute sécurité.</t>
      </text>
    </comment>
    <comment authorId="0" ref="A42">
      <text>
        <t xml:space="preserve">Établir et maintenir des pratiques de récupération des données suffisantes pour restaurer les actifs de l'entreprise dans le champ d'application à un état antérieur à l'incident et à un état de confiance.</t>
      </text>
    </comment>
    <comment authorId="0" ref="A3">
      <text>
        <t xml:space="preserve">Gérer activement (inventorier, suivre et corriger) tous les actifs de l'entreprise (appareils des utilisateurs finaux, y compris portables et mobiles ; appareils réseau ; appareils non informatiques/Internet des objets (IoT) ; et serveurs) connectés à l'infrastructure physiquement, virtuellement, à distance, et ceux dans les environnements cloud, afin de connaître avec précision l'ensemble des actifs qui doivent être surveillés et protégés au sein de l'entreprise. Cela permettra également d'identifier les actifs non autorisés et non gérés à supprimer ou à corriger.</t>
      </text>
    </comment>
    <comment authorId="0" ref="A34">
      <text>
        <t xml:space="preserve">Collecter, alerter, examiner et conserver les journaux d'audit des événements susceptibles de contribuer à la détection, à la compréhension ou au rétablissement d'une attaque.</t>
      </text>
    </comment>
  </commentList>
</comments>
</file>

<file path=xl/sharedStrings.xml><?xml version="1.0" encoding="utf-8"?>
<sst xmlns="http://schemas.openxmlformats.org/spreadsheetml/2006/main" count="1546" uniqueCount="859">
  <si>
    <t>Niveaux de Maturité</t>
  </si>
  <si>
    <t>Signification</t>
  </si>
  <si>
    <t>Libéllé</t>
  </si>
  <si>
    <t>Code couleur</t>
  </si>
  <si>
    <t>Une conscience insuffisante des risques cyber pesant sur l'organisation. Pas ou peu de mesures spécifiques mises en oeuvre en matière de cybersécurité.</t>
  </si>
  <si>
    <t>1 - Insuffisant</t>
  </si>
  <si>
    <t>Une prise de conscience de l'existence de risques cyber pour l'organisation et une volonté de mettre en place des premières mesures cyber pertinentes.</t>
  </si>
  <si>
    <t>2 - Émergent</t>
  </si>
  <si>
    <t>Une conscience partagée des risques cyber pour l'organisation et la volonté de formaliser un plan d'action cyber complet tout en ajustant les moyens en conséquence.</t>
  </si>
  <si>
    <t>3 - Intermédiaire</t>
  </si>
  <si>
    <t>Une cartographie précise de ses risques cyber pour l'organisation, un plan d'action cyber approfondi et des moyens humains et budgétaires dédiés.</t>
  </si>
  <si>
    <t>4 - Confirmé</t>
  </si>
  <si>
    <t>Des objectifs de réduction des risques cyber intégrés à la stratégie de l'organisation. Des moyens humains, budgétaires conséquents, un plan d'action cyber exhaustif, adapté aux menaces stratégiques.</t>
  </si>
  <si>
    <t>5 - Optimal</t>
  </si>
  <si>
    <t>NA</t>
  </si>
  <si>
    <t>Le critère ou l'exigence évalué n'est pas pertinent au regard des activités, du périmètre technique ou du cadre réglementaire de l'organisation.</t>
  </si>
  <si>
    <t>Non applicable</t>
  </si>
  <si>
    <t>DORA (Digital Operational Resilience Act, 2022) est un règlement européen visant à renforcer la résilience opérationnelle numérique du secteur financier.</t>
  </si>
  <si>
    <t>ISO 27001 (2005, révision 2022) est une norme internationale définissant les exigences pour la mise en place d'un système de management de la sécurité de l'information (SMSI).</t>
  </si>
  <si>
    <t>NIS2 (Network and Information Security, 2022) est une directive européenne qui élargit les exigences de cybersécurité à de nouveaux secteurs essentiels.</t>
  </si>
  <si>
    <t>ISO 27002 (2005, révision 2022) est une norme internationale qui fournit un ensemble de bonnes pratiques et de contrôles de sécurité de l'information.</t>
  </si>
  <si>
    <t>PSSI (Politique de Sécurité des Systèmes d'Information) définit le plan d'action et les règles de sécurité à appliquer au sein d'une organisation.</t>
  </si>
  <si>
    <t>ISO 27005 (2008, révision 2022) est une norme internationale qui fournit des lignes directrices pour la gestion des risques liés à la sécurité de l'information.</t>
  </si>
  <si>
    <t>GRC (Gouvernance, Risques et Conformité) est une approche intégrée permettant d'aligner la stratégie sur les objectifs tout en gérant les risques.</t>
  </si>
  <si>
    <t>MEHARI (Méthode Harmonisée d'Analyse de Risques, 1996) est une méthode globale d'évaluation et de management des risques liés à la sécurité de l'information.</t>
  </si>
  <si>
    <t>ANSSI (Agence Nationale de la Sécurité des Systèmes d'Information, 2009) est l'autorité française chargée de sécuriser le développement du numérique.</t>
  </si>
  <si>
    <t>CIS Controls (Center for Internet Security, 2008) est un ensemble de bonnes pratiques et de mesures défensives pour atténuer les cyberattaques courantes.</t>
  </si>
  <si>
    <t>Chapitres</t>
  </si>
  <si>
    <t>ID</t>
  </si>
  <si>
    <t>Règle de bonnes pratiques</t>
  </si>
  <si>
    <t>Description de la règle</t>
  </si>
  <si>
    <t>Description intégrale</t>
  </si>
  <si>
    <t>Type d'actifs</t>
  </si>
  <si>
    <t>Preuves attendues</t>
  </si>
  <si>
    <t>Niveau de maturité</t>
  </si>
  <si>
    <t>Description du niveau</t>
  </si>
  <si>
    <t>Chapitres (Tri)</t>
  </si>
  <si>
    <t>SENSIBILISER ET FORMER</t>
  </si>
  <si>
    <t>Former les équipes opérationnelles à la sécurité des systèmes d’information</t>
  </si>
  <si>
    <t>Les équipes opérationnelles disposant d'accès privilégiés doivent être formées à la sécurité des systèmes d'information dès leur prise de fonction. Ces formations doivent être renouvelées régulièrement et adaptées aux responsabilités de chaque métier afin de limiter les risques liés aux erreurs humaines et aux mauvaises pratiques.</t>
  </si>
  <si>
    <t>Voir règle</t>
  </si>
  <si>
    <t>Identités et accès, Systèmes d’exploitation, Réseaux, Logiciels</t>
  </si>
  <si>
    <t>Politique ou plan de formation SSI, registre des formations réalisées, attestations de participation, supports de formation, clauses de formation SSI dans les contrats de prestation</t>
  </si>
  <si>
    <t>Sensibiliser les utilisateurs aux bonnes pratiques élémentaires de sécurité informatique</t>
  </si>
  <si>
    <t>Tous les utilisateurs doivent être sensibilisés dès leur arrivée aux enjeux de sécurité et aux règles de bon usage du système d’information. Ces actions doivent être régulières et adaptées afin d’ancrer les bonnes pratiques et réduire les risques liés aux comportements humains.</t>
  </si>
  <si>
    <t xml:space="preserve">Identités et accès, Matériels, Systèmes d’exploitation
</t>
  </si>
  <si>
    <t>Programme de sensibilisation SSI, supports de communication (emails, intranet, affiches), comptes-rendus de sessions, registre des campagnes de sensibilisation, charte informatique signée (option renforcée)</t>
  </si>
  <si>
    <t>Maîtriser les risques de l’infogérance</t>
  </si>
  <si>
    <t>L’externalisation du SI ou des données doit être précédée d’une analyse de risques SSI afin d’identifier les exigences de sécurité à imposer au prestataire. Ces exigences doivent être formalisées contractuellement pour garantir la maîtrise, la réversibilité et le maintien du niveau de sécurité.</t>
  </si>
  <si>
    <t xml:space="preserve">Données, Services, Applications, Infrastructures
</t>
  </si>
  <si>
    <t>Analyse de risques SSI, cahier des charges de sécurité, contrats avec clauses SSI, plan d’assurance sécurité (PAS), procédures de réversibilité et de restitution des données</t>
  </si>
  <si>
    <t>CONNAÎTRE LE SYSTÈME D’INFORMATION</t>
  </si>
  <si>
    <t>Identifier les informations et serveurs les plus sensibles et maintenir un schéma du réseau</t>
  </si>
  <si>
    <t>Les données sensibles doivent être identifiées et localisées dans le système d’information afin de déterminer les actifs critiques associés. Une cartographie à jour du SI doit permettre de visualiser les flux, les zones réseau et les composants hébergeant ces données</t>
  </si>
  <si>
    <t xml:space="preserve">Données, Matériels, Réseaux, Systèmes d’exploitation
</t>
  </si>
  <si>
    <t>Registre des données sensibles, cartographie réseau à jour, schéma d’architecture SI, inventaire des actifs critiques, documentation des flux et interconnexions</t>
  </si>
  <si>
    <t>Disposer d’un inventaire exhaustif des comptes privilégiés et le maintenir à jour</t>
  </si>
  <si>
    <t>Les comptes disposant de droits élevés doivent être inventoriés et maintenus à jour afin de limiter les risques d’abus ou de compromission. Une revue régulière des droits permet de supprimer les accès obsolètes et de garantir la maîtrise des privilèges.</t>
  </si>
  <si>
    <t xml:space="preserve">Identités et accès, Systèmes d’exploitation, Applications, Données
</t>
  </si>
  <si>
    <t>Inventaire des comptes à privilèges, registre des comptes de service et administrateurs, procédures de revue périodique des droits, comptes-rendus de revues d’habilitation, règles de nomenclature des comptes</t>
  </si>
  <si>
    <t>Non Applicable</t>
  </si>
  <si>
    <t>Organiser les procédures d’arrivée, de départ et de changement de fonction des utilisateurs</t>
  </si>
  <si>
    <t>Les droits d’accès doivent être attribués, modifiés et supprimés en fonction des mouvements de personnel (arrivées, départs, changements de poste). Les procédures associées doivent garantir la révocation immédiate des accès lors d’un départ ou d’une évolution de fonction.</t>
  </si>
  <si>
    <t xml:space="preserve">Identités et accès, Applications, Services, Matériels, Données
</t>
  </si>
  <si>
    <t>Procédures RH et SSI de gestion des arrivées/départs/mobilité, tickets ou workflows d’onboarding/offboarding, preuves de désactivation de comptes, registres d’attribution/restitution des équipements et badges, matrices d’habilitation mises à jour</t>
  </si>
  <si>
    <t>Autoriser la connexion au réseau de l’entité aux seuls équipements maîtrisés</t>
  </si>
  <si>
    <t>Seuls les équipements maîtrisés par l’entité doivent être autorisés à se connecter aux réseaux internes afin de réduire les risques d’intrusion et de compromission. Les équipements personnels ou visiteurs doivent être isolés via des réseaux dédiés ou des mesures de contrôle adaptées.</t>
  </si>
  <si>
    <t xml:space="preserve">Matériels, Réseaux, Services
</t>
  </si>
  <si>
    <t>Politique d’usage des équipements (BYOD), configuration des réseaux Wi-Fi (SSID invités/entreprise), règles de filtrage réseau, documentation NAC (ex : 802.1X), schéma d’architecture réseau</t>
  </si>
  <si>
    <t>AUTHENTIFIER ET CONTROLER LES ACCÈS</t>
  </si>
  <si>
    <t>Identifier nommément chaque personne accédant au système et distinguer les rôles utilisateur/administrateur</t>
  </si>
  <si>
    <t>Les accès au système d’information doivent être réalisés au moyen de comptes nominatifs afin de garantir la traçabilité des actions. Les administrateurs doivent disposer d’un compte dédié à l’administration, distinct de leur compte utilisateur courant, et utilisé exclusivement pour les tâches d’administration.</t>
  </si>
  <si>
    <t>Identités et accès, Logiciels, Services</t>
  </si>
  <si>
    <t>Politique de gestion des comptes, inventaire des comptes utilisateurs, administrateurs et de service, configuration des annuaires d'authentification, procédures d'administration, journaux de connexion et de journalisation des comptes (niveau renforcé)</t>
  </si>
  <si>
    <t>Attribuer les bons droits sur les ressources sensibles du système d’information</t>
  </si>
  <si>
    <t>Les ressources contenant des informations sensibles doivent être identifiées et leur accès strictement limité aux utilisateurs autorisés. Les droits d'accès doivent être régulièrement revus afin de garantir leur adéquation avec les besoins réels et d'éviter toute exposition non maîtrisée des données.</t>
  </si>
  <si>
    <t>Données, Applications, Services, Stockage</t>
  </si>
  <si>
    <t>Inventaire des ressources sensibles, matrices d'habilitation, listes de contrôle d'accès (ACL), procédures de gestion des droits, rapports de revue des habilitations, configuration des partages et bases de données</t>
  </si>
  <si>
    <t>Définir et vérifier des règles de choix et de dimensionnement des mots de passe</t>
  </si>
  <si>
    <t>Les utilisateurs doivent appliquer des règles de création et d’utilisation de mots de passe garantissant un niveau de sécurité adapté. Des mécanismes techniques doivent compléter la sensibilisation afin de prévenir l’utilisation de mots de passe faibles ou compromis.</t>
  </si>
  <si>
    <t>Identités et accès, Applications, Services</t>
  </si>
  <si>
    <t>Politique de mots de passe, configuration des règles de complexité et de verrouillage des comptes, rapports d’audit de robustesse des mots de passe, supports de sensibilisation, paramètres d’authentification des systèmes</t>
  </si>
  <si>
    <t>Protéger les mots de passe stockés sur les systèmes</t>
  </si>
  <si>
    <t>Les mots de passe ne doivent pas être stockés sous des formes non sécurisées (fichiers, notes, navigateur, e-mail). Ils doivent être protégés via des solutions dédiées garantissant leur chiffrement et leur confinement.</t>
  </si>
  <si>
    <t>Identités et accès, Logiciels</t>
  </si>
  <si>
    <t>Politique de gestion des mots de passe, déploiement d’un coffre-fort de mots de passe, configuration des outils de gestion des identifiants, recommandations de sécurité utilisateur, audits de configuration des navigateurs et postes</t>
  </si>
  <si>
    <t>Changer les éléments d’authentification par défaut sur les équipements et services</t>
  </si>
  <si>
    <t>Les identifiants et mots de passe par défaut des systèmes et équipements doivent être modifiés dès leur installation. Ils doivent être remplacés par des secrets conformes aux règles de sécurité afin de limiter les risques de compromission initiale.</t>
  </si>
  <si>
    <t>Matériels, Logiciels, Réseaux, Identités et accès</t>
  </si>
  <si>
    <t>Procédures d’installation et de durcissement, configurations des équipements, politique de gestion des secrets, inventaire des comptes par défaut supprimés ou modifiés, preuves de changement des identifiants initiaux</t>
  </si>
  <si>
    <t>Privilégier lorsque c’est possible une authentification forte</t>
  </si>
  <si>
    <t>L’accès aux systèmes doit reposer sur une authentification forte combinant au moins deux facteurs distincts. Cette approche réduit significativement le risque de compromission lié au vol ou à la faiblesse d’un seul facteur d’authentification.</t>
  </si>
  <si>
    <t>Politique d’authentification, configuration MFA des systèmes, rapports de déploiement MFA, preuves d’activation sur les applications critiques, documentation des méthodes d’authentification utilisées (OTP, cartes à puce, etc.)</t>
  </si>
  <si>
    <t>SÉCURISER LES POSTES</t>
  </si>
  <si>
    <t>Mettre en place un niveau de sécurité minimal sur l’ensemble du parc informatique</t>
  </si>
  <si>
    <t>L’ensemble du parc informatique doit appliquer un niveau minimal de sécurité incluant la limitation des logiciels, la protection locale et le chiffrement des données. Les systèmes doivent être configurés pour réduire la surface d’attaque et isoler les environnements non conformes si nécessaire.</t>
  </si>
  <si>
    <t>Matériels, Logiciels, Systèmes d’exploitation, Données</t>
  </si>
  <si>
    <t>Politique de durcissement des postes/serveurs, configurations antivirus et pare-feu locaux, paramétrage des postes (désactivation autorun, restriction logiciels), preuves de chiffrement des disques, procédures d’isolement des postes non conformes</t>
  </si>
  <si>
    <t>Se protéger des menaces relatives à l’utilisation de supports amovibles</t>
  </si>
  <si>
    <t>L’usage des supports amovibles doit être encadré afin de limiter les risques de propagation de malware et de fuite de données. Leur utilisation doit être maîtrisée, et les périphériques non fiables doivent être interdits ou strictement contrôlés avant usage.</t>
  </si>
  <si>
    <t>Matériels, Logiciels, Données</t>
  </si>
  <si>
    <t>Politique d’usage des supports amovibles, configurations de contrôle (blocage/exécution, antivirus), règles de sécurité des postes, procédures de mise au rebut/destruction sécurisée, journaux ou outils de contrôle des périphériques USB</t>
  </si>
  <si>
    <t>Utiliser un outil de gestion centralisée afin d’homogénéiser les politiques de sécurité</t>
  </si>
  <si>
    <t>Les politiques de sécurité doivent être homogènes et appliquées de manière centralisée sur l’ensemble du parc informatique. Une gestion centralisée permet d’assurer la cohérence des configurations et d’accélérer l’application de mesures correctives en cas d’incident.</t>
  </si>
  <si>
    <t>Matériels, Logiciels, Systèmes d’exploitation, Réseaux</t>
  </si>
  <si>
    <t>Architecture de gestion centralisée (ex. AD, MDM, GPO), configuration des politiques de sécurité appliquées, inventaire des équipements gérés, documentation des politiques de durcissement, procédures de déploiement et de mise à jour centralisée</t>
  </si>
  <si>
    <t>Activer et configurer le parefeu local des postes de travail</t>
  </si>
  <si>
    <t>Les postes de travail doivent disposer d’un pare-feu local activé afin de limiter les communications non autorisées et réduire les risques de propagation latérale. Une politique de filtrage adaptée permet de restreindre les flux inutiles et de protéger les systèmes contre les accès non souhaités.</t>
  </si>
  <si>
    <t>Matériels, Systèmes d’exploitation, Réseaux</t>
  </si>
  <si>
    <t>Configuration des pare-feu locaux (Windows/Linux), politiques de filtrage appliquées, documentation des règles de sécurité réseau sur postes, éventuellement journaux de blocage des flux, procédures de durcissement des postes</t>
  </si>
  <si>
    <t>Chiffrer les données sensibles transmises par voie Internet</t>
  </si>
  <si>
    <t>Les données sensibles doivent être chiffrées avant toute transmission ou stockage sur des services externes non maîtrisés. Les secrets nécessaires au déchiffrement doivent être transmis via un canal distinct et de confiance.</t>
  </si>
  <si>
    <t>Données, Logiciels, Services</t>
  </si>
  <si>
    <t>Politique de chiffrement des données, configuration des outils de chiffrement (email, cloud, fichiers), procédures de gestion des clés et secrets, preuves d’utilisation de solutions de chiffrement, recommandations utilisateurs</t>
  </si>
  <si>
    <t>SÉCURISER LE RÉSEAU</t>
  </si>
  <si>
    <t>Segmenter le réseau et mettre en place un cloisonnement entre ces zones</t>
  </si>
  <si>
    <t>Le réseau doit être segmenté en zones homogènes selon les niveaux de criticité et les usages afin de limiter les possibilités de déplacement latéral en cas de compromission. Des mécanismes de filtrage doivent contrôler les communications entre ces zones.</t>
  </si>
  <si>
    <t>Réseaux, Infrastructures, Matériels</t>
  </si>
  <si>
    <t>Schéma d’architecture réseau, plan de segmentation (VLAN / sous-réseaux), règles de filtrage inter-zones (pare-feu), documentation d’architecture sécurité réseau, configuration des équipements réseau</t>
  </si>
  <si>
    <t>S’assurer de la sécurité des réseaux d’accès Wi-Fi et de la séparation des usages</t>
  </si>
  <si>
    <t>Les réseaux Wi-Fi doivent être sécurisés par des mécanismes de chiffrement robustes et une authentification adaptée afin de limiter les risques d’intrusion. Les accès Wi-Fi doivent être segmentés selon les usages pour éviter tout accès non autorisé au système d’information interne.</t>
  </si>
  <si>
    <t>Réseaux, Matériels, Systèmes d’exploitation</t>
  </si>
  <si>
    <t>Configuration des points d’accès Wi-Fi (WPA2/WPA3, AES), schéma de segmentation Wi-Fi (SSID/VLAN), règles de filtrage réseau, documentation d’authentification (certificats ou équivalent), configuration d’administration sécurisée des équipements Wi-Fi</t>
  </si>
  <si>
    <t>Utiliser des protocoles réseaux sécurisés dès qu’ils existent</t>
  </si>
  <si>
    <t>Les communications doivent utiliser des protocoles sécurisés intégrant des mécanismes de chiffrement et d’intégrité dès que possible. Les protocoles non sécurisés doivent être remplacés par leurs équivalents sécurisés afin de protéger les échanges de données.</t>
  </si>
  <si>
    <t>Réseaux, Services, Logiciels</t>
  </si>
  <si>
    <t>Configuration des services réseau (HTTPS, SSH, SMTPS, etc.), désactivation des protocoles non sécurisés (HTTP, Telnet, etc.), règles de configuration des serveurs et équipements réseau, scans de sécurité ou rapports d’audit des protocoles actifs</t>
  </si>
  <si>
    <t>Mettre en place une passerelle d’accès sécurisé à Internet</t>
  </si>
  <si>
    <t>Les accès Internet doivent transiter via une passerelle sécurisée intégrant filtrage et proxy afin de contrôler et journaliser les flux. Les postes utilisateurs ne doivent pas disposer d’un accès direct à Internet pour limiter les risques de compromission.</t>
  </si>
  <si>
    <t>Réseaux, Services, Matériels</t>
  </si>
  <si>
    <t>Architecture de passerelle Internet, configuration du pare-feu et du proxy, règles de filtrage web, journaux de proxy, procédures d’administration et de maintien en conditions de sécurité, configuration DNS des postes</t>
  </si>
  <si>
    <t>Cloisonner les services visibles depuis Internet du reste du système d’information</t>
  </si>
  <si>
    <t>Les services exposés sur Internet doivent être hébergés dans une infrastructure dédiée et isolée du reste du système d’information. Les flux entrants doivent être filtrés et contrôlés via des mécanismes de sécurité adaptés, notamment des reverse proxy.</t>
  </si>
  <si>
    <t>Réseaux, Infrastructures, Services, Matériels</t>
  </si>
  <si>
    <t>Schéma d’architecture d’hébergement (DMZ), configuration des reverse proxy, règles de filtrage réseau, documentation de segmentation des environnements, inventaire des services exposés, procédures d’administration et de sécurisation des infrastructures</t>
  </si>
  <si>
    <t>Protéger sa messagerie professionnelle</t>
  </si>
  <si>
    <t>La messagerie doit être protégée contre les menaces (malwares, phishing, fraude) via des mécanismes techniques et organisationnels adaptés. Les échanges doivent être sécurisés et les usages à risque (redirection externe, ouverture de contenus non vérifiés) encadrés.</t>
  </si>
  <si>
    <t>Services, Réseaux, Logiciels, Données</t>
  </si>
  <si>
    <t>Configuration de la passerelle de messagerie, solution antivirus/anti-malware mail, activation TLS, politiques de sécurité messagerie, configuration anti-spam, enregistrements DNS (SPF, DKIM, DMARC), procédures de sensibilisation et règles d’usage</t>
  </si>
  <si>
    <t>Sécuriser les interconnexions réseau dédiées avec les partenaires</t>
  </si>
  <si>
    <t>Les interconnexions avec des partenaires doivent être encadrées par des tunnels sécurisés et un filtrage strict des flux. Les échanges doivent être limités au strict nécessaire opérationnel afin de réduire la surface d’exposition.</t>
  </si>
  <si>
    <t>Réseaux, Services, Infrastructures</t>
  </si>
  <si>
    <t>Schémas d’interconnexion, configuration VPN/IPsec, règles de pare-feu, matrice des flux autorisés, documentation de filtrage dédié, éventuellement configuration IDS/IPS</t>
  </si>
  <si>
    <t>Contrôler et protéger l’accès aux salles serveurs et aux locaux techniques</t>
  </si>
  <si>
    <t>Les accès aux locaux techniques doivent être strictement contrôlés afin de limiter les intrusions physiques et les accès non autorisés aux systèmes. Les points d’accès réseau en zones accessibles doivent être maîtrisés ou désactivés pour éviter toute connexion non autorisée.</t>
  </si>
  <si>
    <t>Matériels, Réseaux, Infrastructures</t>
  </si>
  <si>
    <t>Contrôle d’accès aux locaux (badges/serrures), journaux de contrôle d’accès physique, politique de gestion des accès physiques, inventaire des prises réseau actives/inactives, procédures de gestion des accès et revues périodiques des habilitations physiques</t>
  </si>
  <si>
    <t>SÉCURISER L’ADMINISTRATION</t>
  </si>
  <si>
    <t>Interdire l’accès à Internet depuis les postes ou serveurs utilisés pour l’administration du système d’information</t>
  </si>
  <si>
    <t>Les environnements d’administration doivent être isolés d’Internet afin de réduire les risques d’exposition aux attaques. Les usages nécessitant Internet doivent être réalisés depuis un environnement distinct ou contrôlé pour éviter toute compromission des accès privilégiés.</t>
  </si>
  <si>
    <t>Matériels, Systèmes d’exploitation, Réseaux, Logiciels</t>
  </si>
  <si>
    <t>Architecture des postes d’administration, règles de segmentation réseau, configuration des accès Internet (blocage ou isolation), documentation des environnements séparés (bureautique vs admin), procédures de transfert sécurisé de mises à jour</t>
  </si>
  <si>
    <t>Utiliser un réseau dédié et cloisonné pour l’administration du système d’information</t>
  </si>
  <si>
    <t>Le réseau d’administration doit être isolé des autres réseaux afin de limiter les risques de compromission par rebond. Les flux d’administration doivent être strictement séparés et protégés par des mécanismes de cloisonnement adaptés.</t>
  </si>
  <si>
    <t>Schéma d’architecture réseau, configuration VLAN ou IPsec, règles de segmentation réseau, documentation du réseau d’administration, règles de filtrage inter-réseaux</t>
  </si>
  <si>
    <t>Limiter au strict besoin opérationnel les droits d’administration sur les postes de travail</t>
  </si>
  <si>
    <t>Les utilisateurs ne doivent pas disposer de droits d’administration sur leurs postes de travail afin de limiter les risques d’exécution de logiciels malveillants et de modifications système non maîtrisées. Les élévations de privilèges doivent rester exceptionnelles, tracées et temporaires.</t>
  </si>
  <si>
    <t>Matériels, Systèmes d’exploitation, Logiciels</t>
  </si>
  <si>
    <t>Politique de gestion des droits utilisateurs, configuration des postes (droits standards), inventaire des comptes locaux administrateurs, procédures de délégation temporaire de privilèges, journaux d’audit des élévations de droits</t>
  </si>
  <si>
    <t>GÉRER LE NOMADISME</t>
  </si>
  <si>
    <t>Prendre des mesures de sécurisation physique des terminaux nomades</t>
  </si>
  <si>
    <t>Les terminaux nomades doivent être protégés contre la perte, le vol et les accès non autorisés car ils peuvent contenir des données sensibles. Des mesures de protection physique et logique doivent être mises en place pour réduire leur exposition aux risques.</t>
  </si>
  <si>
    <t>Matériels, Données, Systèmes d’exploitation</t>
  </si>
  <si>
    <t>Politique de sécurité des terminaux nomades, activation du chiffrement des disques, déploiement de filtres de confidentialité écran, procédures de gestion des pertes/vols, documentation sur l’authentification forte ou supports matériels complémentaires</t>
  </si>
  <si>
    <t>Chiffrer les données sensibles, en particulier sur le matériel potentiellement perdable</t>
  </si>
  <si>
    <t>Les données stockées sur les terminaux et supports nomades doivent être chiffrées afin de protéger leur confidentialité en cas de perte ou de vol. L’accès aux données doit être conditionné à un secret robuste et unique.</t>
  </si>
  <si>
    <t>Données, Matériels, Systèmes d’exploitation</t>
  </si>
  <si>
    <t>Politique de chiffrement des supports nomades, configuration du chiffrement de disque (ex. BitLocker, LUKS), procédures de gestion des clés de chiffrement, vérification de l’activation du chiffrement sur les équipements</t>
  </si>
  <si>
    <t>Sécuriser la connexion réseau des postes utilisés en situation de nomadisme</t>
  </si>
  <si>
    <t>Les connexions distantes depuis des équipements nomades doivent transiter via un tunnel VPN sécurisé afin de protéger les échanges avec le système d’information. Le trafic doit être encapsulé dans ce tunnel pour éviter toute exposition directe sur Internet.</t>
  </si>
  <si>
    <t>Réseaux, Systèmes d’exploitation, Services, Identités et accès</t>
  </si>
  <si>
    <t>Configuration de la solution VPN (IPsec/SSL), politiques de connexion distante, règles de routage forcé (full tunnel), documentation de la passerelle VPN, configuration d’authentification des accès distants</t>
  </si>
  <si>
    <t>Adopter des politiques de sécurité dédiées aux terminaux mobiles</t>
  </si>
  <si>
    <t>Les terminaux mobiles utilisés en contexte professionnel doivent être sécurisés et gérés de manière homogène afin de réduire les risques liés à la compromission ou à la fuite de données. L’usage personnel et professionnel doit être séparé autant que possible.</t>
  </si>
  <si>
    <t>Matériels, Systèmes d’exploitation, Applications, Données</t>
  </si>
  <si>
    <t>Politique de gestion des terminaux mobiles (MDM), configuration des politiques de sécurité (verrouillage, restrictions applications), inventaire des équipements mobiles, règles de séparation des usages, procédures de configuration initiale des appareils</t>
  </si>
  <si>
    <t>MAINTENIR LE SYSTÈME D’INFORMATION À JOUR</t>
  </si>
  <si>
    <t>Définir une politique de mise à jour des composants du système d’information</t>
  </si>
  <si>
    <t>Les vulnérabilités doivent être corrigées via l’application régulière des correctifs de sécurité publiés par les éditeurs. Une politique de mise à jour structurée doit garantir l’identification, la qualification et le déploiement des correctifs dans des délais maîtrisés.</t>
  </si>
  <si>
    <t>Logiciels, Systèmes d’exploitation, Matériels, Réseaux</t>
  </si>
  <si>
    <t>Politique de gestion des correctifs, inventaire des composants du SI, procédures de patch management, rapports de déploiement des mises à jour, outils de gestion des mises à jour (WSUS, équivalent), liste des systèmes obsolètes isolés</t>
  </si>
  <si>
    <t>Anticiper la fin de la maintenance des logiciels et systèmes et limiter les adhérences logicielles</t>
  </si>
  <si>
    <t>Les systèmes et logiciels doivent être maintenus à jour et remplacés avant leur fin de support afin de limiter les vulnérabilités exploitables. Une stratégie d’anticipation de l’obsolescence doit être mise en place pour assurer la continuité de sécurité.</t>
  </si>
  <si>
    <t>Logiciels, Systèmes d’exploitation, Matériels, Infrastructures</t>
  </si>
  <si>
    <t>Inventaire des logiciels et systèmes, suivi des versions et dates de fin de support (EOL/EOS), stratégie de gestion de l’obsolescence, plan de migration ou de remplacement, procédures de mise à jour et de migration, documentation de tests de non-régression</t>
  </si>
  <si>
    <t>SUPERVISER, AUDITER, RÉAGIR</t>
  </si>
  <si>
    <t>Activer et configurer les journaux des composants les plus importants</t>
  </si>
  <si>
    <t>Les composants critiques du système d’information doivent générer des journaux exploitables permettant de détecter les incidents et tentatives d’intrusion. Les événements de sécurité doivent être conservés et synchronisés dans le temps pour permettre leur analyse et leur corrélation.</t>
  </si>
  <si>
    <t>Réseaux, Logiciels, Systèmes d’exploitation, Services, Matériels</t>
  </si>
  <si>
    <t>Politique de journalisation, configuration des logs (serveurs, applications, pare-feu), règles de rétention des journaux, configuration NTP, preuve de centralisation des logs (SIEM ou équivalent), exemples de journaux collectés</t>
  </si>
  <si>
    <t>Définir et appliquer une politique de sauvegarde des composants critiques</t>
  </si>
  <si>
    <t>Une politique de sauvegarde doit garantir la disponibilité des données, systèmes et logiciels en cas d’incident ou d’intrusion. Elle doit définir les modalités de sauvegarde, de stockage sécurisé et de restauration régulière des informations critiques.</t>
  </si>
  <si>
    <t>Données, Logiciels, Systèmes d’exploitation, Infrastructures</t>
  </si>
  <si>
    <t>Politique de sauvegarde, liste des données et systèmes sauvegardés, configuration des outils de backup, procédures de restauration, preuves de tests de restauration, rapports d’exercices de reprise, règles de stockage et de rétention des sauvegardes</t>
  </si>
  <si>
    <t>Procéder à des contrôles et audits de sécurité réguliers puis appliquer les actions correctives associées</t>
  </si>
  <si>
    <t>Des audits de sécurité doivent être réalisés régulièrement afin d’évaluer l’efficacité des mesures mises en place et détecter les écarts entre les règles et leur application. Les résultats doivent donner lieu à des plans d’actions suivis dans le temps.</t>
  </si>
  <si>
    <t>Documentation, Systèmes d’information (globaux), Réseaux, Logiciels, Infrastructures</t>
  </si>
  <si>
    <t>Rapports d’audit internes ou externes, plan d’actions correctives, tableaux de suivi des actions, comptes rendus de revues périodiques, indicateurs de suivi (KPI sécurité), preuves de réalisation des corrections</t>
  </si>
  <si>
    <t>Désigner un référent en sécurité des systèmes d’information et le faire connaître auprès du personnel</t>
  </si>
  <si>
    <t>Une entité doit désigner un référent SSI chargé de centraliser les questions, incidents et bonnes pratiques de sécurité. Ce référent assure la diffusion des règles et contribue à l’amélioration continue de la sécurité du système d’information.</t>
  </si>
  <si>
    <t>Documentation, Systèmes d’information, Services</t>
  </si>
  <si>
    <t>Nomination officielle du référent SSI, description de rôle et responsabilités, procédures de traitement des incidents, supports de sensibilisation, plan de formation SSI, canaux de communication SSI internes</t>
  </si>
  <si>
    <t>Définir une procédure de gestion des incidents de sécurité</t>
  </si>
  <si>
    <t>Tout comportement suspect ou incident de sécurité doit être détecté, isolé et traité selon une procédure définie afin de limiter la propagation et les impacts. Les incidents doivent être analysés et documentés pour permettre une réponse adaptée et une amélioration continue de la sécurité.</t>
  </si>
  <si>
    <t>Systèmes d’information, Données, Logiciels, Réseaux</t>
  </si>
  <si>
    <t>Procédure de gestion des incidents, registre des incidents de sécurité, rapports d’analyse d’incidents, preuves d’isolement des systèmes compromis, tickets ou comptes rendus d’intervention, plan de remédiation et actions correctives</t>
  </si>
  <si>
    <t>POUR ALLER PLUS LOIN</t>
  </si>
  <si>
    <t>Mener une analyse de risques formelle</t>
  </si>
  <si>
    <t>Toute décision de sécurité doit être basée sur une analyse de risques prenant en compte le contexte, la probabilité et l’impact des menaces. Les mesures de sécurité doivent être justifiées par un traitement structuré des risques et validées au niveau approprié.</t>
  </si>
  <si>
    <t>Systèmes d’information, Données, Logiciels, Réseaux, Infrastructures</t>
  </si>
  <si>
    <t>Analyses de risques (type EBIOS ou équivalent), cartographie des risques, plans de traitement des risques, décisions de sécurité validées, documentation de contexte de sécurité, registres de risques et de suivi</t>
  </si>
  <si>
    <t>Privilégier l’usage de produits et de services qualifiés par l’ANSSI</t>
  </si>
  <si>
    <t>Les solutions de sécurité et services critiques doivent être choisis en privilégiant les produits et prestataires qualifiés par l’ANSSI afin de garantir un niveau de confiance et de sécurité éprouvé. Cette démarche permet de réduire les risques liés à l’usage de solutions non évaluées.</t>
  </si>
  <si>
    <t>Logiciels, Services, Infrastructures</t>
  </si>
  <si>
    <t>Liste des produits et services utilisés, preuves de qualification ANSSI (PASSI, PRIS, PDIS, SecNumCloud), dossiers de sélection des solutions, contrats ou fiches techniques des prestataires, documentation d’architecture intégrant des solutions qualifiées</t>
  </si>
  <si>
    <t>Guide d'hygiène informatique de l'ANSSI</t>
  </si>
  <si>
    <t>id</t>
  </si>
  <si>
    <t xml:space="preserve">Niveau </t>
  </si>
  <si>
    <t xml:space="preserve">AVERAGE de Niveau </t>
  </si>
  <si>
    <t>Total général</t>
  </si>
  <si>
    <t xml:space="preserve">SUM de Niveau </t>
  </si>
  <si>
    <t>Score max</t>
  </si>
  <si>
    <t>Reste à atteindre</t>
  </si>
  <si>
    <t>Niveau</t>
  </si>
  <si>
    <t>Nombre</t>
  </si>
  <si>
    <t>Domaine</t>
  </si>
  <si>
    <t>ID Contrôle</t>
  </si>
  <si>
    <t>Exigence / contrôle</t>
  </si>
  <si>
    <t>Description simple</t>
  </si>
  <si>
    <t>Description complète</t>
  </si>
  <si>
    <t>Type d’actif</t>
  </si>
  <si>
    <t>Fonction sécurité</t>
  </si>
  <si>
    <t>Preuve attendue</t>
  </si>
  <si>
    <t>Risque encouru</t>
  </si>
  <si>
    <t xml:space="preserve">Commentaire </t>
  </si>
  <si>
    <t>Recommendation</t>
  </si>
  <si>
    <t>I. GESTION DES RISQUES TIC</t>
  </si>
  <si>
    <t>Définir la responsabilité de la direction</t>
  </si>
  <si>
    <t>Impliquer activement la direction générale dans la sécurité de l'information, incluant la validation des budgets et l'endossement de la responsabilité des risques numériques.</t>
  </si>
  <si>
    <t>La direction doit porter la responsabilité finale de la gestion du risque TIC. Elle doit valider les politiques, approuver et revoir la stratégie de résilience numérique, les plans de continuité, les plans de réponse et de récupération, les audits TIC, les budgets et les dispositifs de suivi des prestataires TIC.</t>
  </si>
  <si>
    <t>Organisation</t>
  </si>
  <si>
    <t>Gouverner</t>
  </si>
  <si>
    <t>Procès-verbal, politique validée, responsabilités formalisées</t>
  </si>
  <si>
    <t>Définir les rôles et responsabilités TIC</t>
  </si>
  <si>
    <t>Définir clairement et formaliser les rôles et responsabilités de chaque collaborateur en matière de sécurité de l'information.</t>
  </si>
  <si>
    <t>Définir clairement les rôles et responsabilités liés aux fonctions TIC, à la sécurité, à la gestion des risques, au contrôle et à l’audit. L’organisation doit assurer une séparation suffisante entre les fonctions de gestion du risque TIC, les fonctions de contrôle et l’audit interne afin d’éviter les conflits d’intérêts.</t>
  </si>
  <si>
    <t>Organigramme, fiches de rôles, matrice RACI</t>
  </si>
  <si>
    <t>Confusion dans les actions de sécurité et conflits d'intérêts. Risque d'inaction ou de mauvaise gestion lors d'un incident critique.</t>
  </si>
  <si>
    <t>Mettre en place un cadre de gestion des risques TIC</t>
  </si>
  <si>
    <t>Structurer la démarche de sécurité via un cadre de référence documentant l'identification, l'évaluation et le traitement des risques TIC.</t>
  </si>
  <si>
    <t>Mettre en place un cadre de gestion des risques TIC solide, complet et documenté, intégré au dispositif global de gestion des risques. Ce cadre doit permettre d’identifier, de protéger, de détecter, de répondre, de récupérer et de suivre les risques liés aux technologies de l’information et de la communication.</t>
  </si>
  <si>
    <t>Politique de gestion des risques TIC, procédure, registre des risques</t>
  </si>
  <si>
    <t/>
  </si>
  <si>
    <t>Documenter les politiques, procédures et outils TIC</t>
  </si>
  <si>
    <t>Documenter, valider par la direction et mettre à jour régulièrement l'ensemble des politiques et procédures de sécurité de l'information.</t>
  </si>
  <si>
    <t>Documenter les stratégies, politiques, procédures, protocoles et outils TIC nécessaires à la gestion du risque TIC. Cette documentation doit être tenue à jour, revue régulièrement et permettre de démontrer la manière dont l’organisation protège ses actifs informationnels, ses systèmes, ses infrastructures et ses services critiques.</t>
  </si>
  <si>
    <t>Politiques, procédures et stratégies documentées</t>
  </si>
  <si>
    <t>Réaliser des audits internes TIC</t>
  </si>
  <si>
    <t>Réaliser régulièrement des audits internes ou externes indépendants pour vérifier l'application des règles de sécurité et identifier les axes d'amélioration.</t>
  </si>
  <si>
    <t>Soumettre régulièrement le cadre de gestion des risques TIC à des audits internes réalisés par des personnes disposant de compétences suffisantes en risque TIC et d’une indépendance appropriée. Les constats d’audit doivent donner lieu à un suivi formalisé et à la correction des points critiques identifiés.</t>
  </si>
  <si>
    <t>Processus</t>
  </si>
  <si>
    <t>Gouverner / Évaluer</t>
  </si>
  <si>
    <t>Rapports d'audit interne, plan d'action post-audit.</t>
  </si>
  <si>
    <t>Définir une stratégie de résilience numérique</t>
  </si>
  <si>
    <t>Élaborer une stratégie de résilience numérique à long terme pour assurer la continuité des opérations en cas d'incident informatique majeur.</t>
  </si>
  <si>
    <t>Définir une stratégie de résilience opérationnelle numérique expliquant comment le cadre de gestion du risque TIC soutient les objectifs de l’organisation. Cette stratégie doit préciser la tolérance au risque TIC, les objectifs de sécurité, les mécanismes de détection et de protection, les tests de résilience et la stratégie de communication en cas d’incident.</t>
  </si>
  <si>
    <t>Stratégie de résilience numérique documentée et approuvée</t>
  </si>
  <si>
    <t>Identifier les actifs informationnels et TIC</t>
  </si>
  <si>
    <t>Réaliser un inventaire exhaustif et évaluer la criticité des actifs matériels, logiciels et des données sensibles.</t>
  </si>
  <si>
    <t>Identifier, classer et documenter les actifs informationnels et TIC nécessaires aux activités de l’organisation. Cela comprend notamment les données, logiciels, matériels, serveurs, infrastructures, locaux sensibles, services critiques, dépendances internes et externes, ainsi que leurs interconnexions.</t>
  </si>
  <si>
    <t>Matériel / Logiciel / Information</t>
  </si>
  <si>
    <t>Identifier</t>
  </si>
  <si>
    <t>Cartographie des actifs, registre des actifs</t>
  </si>
  <si>
    <t>Protéger les actifs TIC</t>
  </si>
  <si>
    <t>Implémenter des mesures de protection techniques et organisationnelles (gestion des accès, mots de passe robustes, chiffrement) pour sécuriser les actifs.</t>
  </si>
  <si>
    <t>Protéger les actifs informationnels et TIC contre les risques, notamment les dommages, les accès non autorisés, les usages abusifs, les pertes d’intégrité, d’authenticité, de confidentialité ou de disponibilité. Les mesures doivent couvrir les accès, les systèmes, les données, les infrastructures et les composants physiques sensibles.</t>
  </si>
  <si>
    <t>Protéger</t>
  </si>
  <si>
    <t>Politiques de sécurité, preuves de chiffrement, gestion des accès</t>
  </si>
  <si>
    <t>Maintenir des systèmes TIC fiables et à jour</t>
  </si>
  <si>
    <t>Maintenir en condition de sécurité les systèmes par l'application régulière et systématique des correctifs et mises à jour de sécurité.</t>
  </si>
  <si>
    <t>Utiliser et maintenir des systèmes, protocoles et outils TIC fiables, adaptés à l’activité, suffisamment résilients et régulièrement mis à jour. Les systèmes doivent permettre d’assurer la sécurité, la continuité des services, la disponibilité, l’intégrité, l’authenticité et la confidentialité des données.</t>
  </si>
  <si>
    <t>Matériel / Logiciel</t>
  </si>
  <si>
    <t>Politique de gestion des correctifs, rapports de mise à jour</t>
  </si>
  <si>
    <t>Détecter les anomalies et incidents TIC</t>
  </si>
  <si>
    <t>Déployer des solutions de détection pour identifier rapidement les activités suspectes ou malveillantes sur le réseau et les systèmes.</t>
  </si>
  <si>
    <t>Mettre en place des mécanismes permettant d’identifier rapidement les sources de risque TIC, les anomalies, les activités suspectes, les incidents et les points de défaillance. Ces mécanismes doivent permettre une détection rapide et un traitement efficace des incidents liés aux TIC.</t>
  </si>
  <si>
    <t>Matériel / Logiciel / Réseau</t>
  </si>
  <si>
    <t>Détecter</t>
  </si>
  <si>
    <t>Outils de surveillance (SIEM, SOC), journaux d'événements</t>
  </si>
  <si>
    <t>Les attaquants peuvent rester cachés longtemps dans le réseau. L'impact de l'attaque s'aggrave avec le temps de détection.</t>
  </si>
  <si>
    <t>Mettre en place une politique de continuité TIC</t>
  </si>
  <si>
    <t>Élaborer un plan de continuité d'activité (PCA) pour garantir le maintien des services essentiels en cas de défaillance majeure des systèmes TIC.</t>
  </si>
  <si>
    <t>Établir une politique de continuité d’activité TIC permettant de maintenir les fonctions critiques ou importantes en cas d’incident ou de perturbation importante. Cette politique doit intégrer l’analyse d’impact, les dépendances critiques, les prestataires tiers, les systèmes de sauvegarde et les scénarios de crise.</t>
  </si>
  <si>
    <t>Organisation / Processus</t>
  </si>
  <si>
    <t>Répondre / Récupérer</t>
  </si>
  <si>
    <t>Politique de continuité des activités (PCA/PRA)</t>
  </si>
  <si>
    <t>Arrêt total des opérations en cas de sinistre. Incapacité à fournir les services essentiels aux clients.</t>
  </si>
  <si>
    <t>Définir des plans de réponse et de récupération</t>
  </si>
  <si>
    <t>Formaliser et tester régulièrement les plans de réponse aux incidents pour assurer une réaction efficace et coordonnée en cas de cyberattaque.</t>
  </si>
  <si>
    <t>Mettre en place des plans de réponse et de récupération TIC afin de gérer rapidement les incidents, limiter leurs impacts, restaurer les services affectés et assurer le retour à un fonctionnement sécurisé. Ces plans doivent être testés, revus et adaptés aux fonctions critiques ou importantes.</t>
  </si>
  <si>
    <t>Plans de réponse aux incidents, rapports de tests</t>
  </si>
  <si>
    <t>Définir des sauvegardes et restaurations</t>
  </si>
  <si>
    <t>Mettre en œuvre une politique de sauvegarde régulière et sécurisée, accompagnée de tests fréquents de restauration des données.</t>
  </si>
  <si>
    <t>Définir des politiques et procédures de sauvegarde, de restauration et de récupération permettant de restaurer les systèmes et les données avec un temps d’arrêt limité, une perte minimale et un haut niveau d’intégrité. Les sauvegardes doivent être adaptées à la criticité des données et testées régulièrement.</t>
  </si>
  <si>
    <t>Information / Logiciel</t>
  </si>
  <si>
    <t>Récupérer</t>
  </si>
  <si>
    <t>Politique de sauvegarde, journaux de sauvegarde, tests de restauration</t>
  </si>
  <si>
    <t>Perte définitive de données critiques suite à un ransomware ou un sinistre. Impossibilité de relancer l'activité.</t>
  </si>
  <si>
    <t>II. GESTION, CLASSIFICATION ET SIGNALEMENT DES INCIDENTS LIÉS AUX TIC</t>
  </si>
  <si>
    <t>Mettre en place un processus de gestion des incidents TIC</t>
  </si>
  <si>
    <t>Établir un processus formel pour le signalement, l'analyse, la résolution et la communication liés aux incidents informatiques.</t>
  </si>
  <si>
    <t>Établir et mettre en œuvre un processus de gestion des incidents TIC permettant de détecter, gérer, suivre et notifier les incidents. Ce processus doit permettre l’enregistrement des incidents, l’analyse des causes, le traitement, le suivi et la prévention de leur réapparition.</t>
  </si>
  <si>
    <t>Répondre</t>
  </si>
  <si>
    <t>Procédure de gestion des incidents, registre des incidents</t>
  </si>
  <si>
    <t>Traitement inefficace des incidents. Les mêmes attaques peuvent se reproduire sans amélioration des défenses.</t>
  </si>
  <si>
    <t>Classifier les incidents selon leur gravité</t>
  </si>
  <si>
    <t>Définir une méthodologie de classification des incidents selon leur gravité afin d'adapter les mesures de réponse de manière proportionnée.</t>
  </si>
  <si>
    <t>Classifier les incidents TIC selon leur priorité, leur gravité et leur impact. La classification doit prendre en compte les clients ou contreparties touchés, la durée de l’incident, l’étendue géographique, les pertes de données, la criticité des services affectés et l’impact économique.</t>
  </si>
  <si>
    <t>Identifier / Répondre</t>
  </si>
  <si>
    <t>Critères de classification, rapports d'incidents classifiés</t>
  </si>
  <si>
    <t>Gaspillage des ressources sur des incidents mineurs au détriment des crises réelles. Risque de mauvaise appréciation de l'impact.</t>
  </si>
  <si>
    <t>Notifier les incidents TIC majeurs</t>
  </si>
  <si>
    <t>L’organisation doit déclarer les incidents TIC majeurs aux autorités compétentes selon les modalités prévues.</t>
  </si>
  <si>
    <t>Notifier les incidents TIC majeurs aux autorités compétentes selon les modalités et délais prévus. L’organisation doit être capable d’identifier les incidents majeurs, de préparer les informations nécessaires et de transmettre les déclarations officielles aux autorités concernées.</t>
  </si>
  <si>
    <t>Notifier</t>
  </si>
  <si>
    <t>Procédure de notification, modèle de déclaration, registre des incidents déclarés</t>
  </si>
  <si>
    <t>Sanctions réglementaires sévères et amendes. Perte de confiance des autorités et des partenaires.</t>
  </si>
  <si>
    <t>Conserver une trace des incidents TIC</t>
  </si>
  <si>
    <t>L’organisation doit documenter les incidents, leur gravité, leur traitement et les actions correctives mises en place.</t>
  </si>
  <si>
    <t>Enregistrer tous les incidents TIC et les cybermenaces significatives. L’organisation doit conserver une traçabilité des incidents, documenter leur traitement, identifier les causes profondes, suivre les actions correctives et utiliser ces informations pour éviter que les incidents ne se reproduisent.</t>
  </si>
  <si>
    <t>Information / Organisation</t>
  </si>
  <si>
    <t>Prévoir une stratégie de communication en cas d’incident TIC</t>
  </si>
  <si>
    <t>L’organisation doit savoir comment communiquer en cas d’incident TIC important, en interne et si nécessaire vers les autorités, clients ou parties concernées.</t>
  </si>
  <si>
    <t>Prévoir une stratégie de communication en cas d’incident TIC. L’organisation doit définir comment communiquer avec le personnel, les parties externes, les médias, les clients et les autorités compétentes, ainsi que les procédures d’escalade interne et de notification lorsque cela est nécessaire.</t>
  </si>
  <si>
    <t>Évaluer</t>
  </si>
  <si>
    <t>Plan de communication de crise, procédure de communication, modèles de messages</t>
  </si>
  <si>
    <t>III. TESTS DE RÉSILIENCE OPÉRATIONNELLE NUMÉRIQUE</t>
  </si>
  <si>
    <t>Réaliser des tests de résilience basiques</t>
  </si>
  <si>
    <t>Effectuer régulièrement des tests de vulnérabilité et des évaluations de la sécurité du réseau.</t>
  </si>
  <si>
    <t>Mettre en place un programme de tests de résilience opérationnelle numérique afin de vérifier régulièrement l’efficacité des outils, systèmes, protocoles, procédures et mesures de sécurité TIC. Ces tests doivent permettre d’identifier les faiblesses, vulnérabilités ou lacunes dans le dispositif de résilience.</t>
  </si>
  <si>
    <t>Réseau / Logiciel</t>
  </si>
  <si>
    <t>Rapports de tests de vulnérabilité, plan de remédiation</t>
  </si>
  <si>
    <t>Réaliser des tests de pénétration fondés sur la menace (TLPT)</t>
  </si>
  <si>
    <t>Pour les entités critiques, réaliser des tests avancés simulant des attaques réelles (Red Teaming).</t>
  </si>
  <si>
    <t>Réaliser, pour les entités concernées, des tests avancés de pénétration fondés sur la menace, appelés TLPT. Ces tests doivent simuler des attaques réalistes sur les fonctions critiques ou importantes et être réalisés selon des exigences encadrées, avec des testeurs disposant des compétences et garanties nécessaires.</t>
  </si>
  <si>
    <t>Organisation / Réseau / Logiciel</t>
  </si>
  <si>
    <t>Rapports TLPT, attestations de réalisation</t>
  </si>
  <si>
    <t>Corriger les faiblesses détectées lors des tests</t>
  </si>
  <si>
    <t>Après les tests, l’organisation doit analyser les résultats, corriger les vulnérabilités et suivre les actions de remédiation.</t>
  </si>
  <si>
    <t>Analyser les résultats des tests de résilience et mettre en place des plans de remédiation. Les vulnérabilités, faiblesses ou insuffisances détectées doivent être corrigées, documentées et suivies jusqu’à leur résolution afin d’améliorer le niveau de résilience numérique.</t>
  </si>
  <si>
    <t>Améliorer</t>
  </si>
  <si>
    <t>Plan de remédiation, suivi des corrections, rapport de test</t>
  </si>
  <si>
    <t>Les vulnérabilités connues restent exploitables. Négligence coupable facilitant grandement le travail des cybercriminels.</t>
  </si>
  <si>
    <t>IV. GESTION DES RISQUES LIÉS AUX PRESTATAIRES TIERS DE SERVICES TIC</t>
  </si>
  <si>
    <t>Gérer les risques liés aux tiers TIC</t>
  </si>
  <si>
    <t>Évaluer les risques avant de contracter avec un prestataire tiers et tenir un registre des accords.</t>
  </si>
  <si>
    <t>Gérer les risques liés aux prestataires tiers TIC comme une composante du risque TIC global. L’organisation reste pleinement responsable de ses obligations même lorsqu’elle externalise des services TIC, et doit surveiller les dépendances, la criticité des services et l’impact potentiel sur la continuité des activités.</t>
  </si>
  <si>
    <t>Registre des informations, évaluations des risques tiers</t>
  </si>
  <si>
    <t>Tenir un registre des contrats TIC</t>
  </si>
  <si>
    <t>L’organisation doit maintenir un registre des contrats conclus avec les prestataires TIC.</t>
  </si>
  <si>
    <t>Maintenir et mettre à jour un registre des contrats conclus avec les prestataires tiers TIC. Ce registre doit distinguer les contrats portant sur des fonctions critiques ou importantes et contenir les informations nécessaires à la supervision des dépendances et des services TIC externalisés.</t>
  </si>
  <si>
    <t>Registre des contrats TIC, liste des prestataires, cartographie des dépendances</t>
  </si>
  <si>
    <t>Évaluer les prestataires avant contrat</t>
  </si>
  <si>
    <t>Avant de signer, l’organisation doit analyser la criticité du service, les risques associés et la capacité du prestataire à respecter les exigences de sécurité.</t>
  </si>
  <si>
    <t>Évaluer les prestataires TIC avant la conclusion d’un contrat. L’organisation doit analyser la criticité du service, les risques associés, les conditions de supervision, les conflits d’intérêts possibles, les dépendances et la capacité du prestataire à respecter les exigences de sécurité et de résilience.</t>
  </si>
  <si>
    <t>Analyse précontractuelle, questionnaire fournisseur, due diligence</t>
  </si>
  <si>
    <t>Définir les exigences contractuelles</t>
  </si>
  <si>
    <t>S'assurer que les contrats avec les tiers incluent des clauses spécifiques de sécurité, d'audit et de résiliation.</t>
  </si>
  <si>
    <t>Définir dans les contrats TIC les exigences essentielles relatives aux services fournis, aux niveaux de service, aux lieux de traitement des données, à la disponibilité, l’intégrité, la sécurité, la protection des données, l’assistance en cas d’incident, la coopération avec les autorités et les conditions de résiliation.</t>
  </si>
  <si>
    <t>Contrats signés avec clauses DORA, politique d'externalisation</t>
  </si>
  <si>
    <t>Prévoir des droits d’audit et de contrôle</t>
  </si>
  <si>
    <t>Les contrats doivent permettre à l’organisation de contrôler ou auditer le prestataire TIC lorsque nécessaire.</t>
  </si>
  <si>
    <t>Prévoir dans les contrats des droits d’accès, d’inspection et d’audit permettant à l’organisation, à un tiers désigné ou à l’autorité compétente de contrôler le prestataire TIC. Ces droits doivent permettre de vérifier la performance, la sécurité et la maîtrise des risques liés au prestataire.</t>
  </si>
  <si>
    <t>Contrôler</t>
  </si>
  <si>
    <t>Clauses d’audit, rapports fournisseur, droit d’accès / inspection</t>
  </si>
  <si>
    <t>Prévoir une stratégie de sortie</t>
  </si>
  <si>
    <t>L’organisation doit pouvoir changer de prestataire ou réinternaliser le service sans interruption majeure.</t>
  </si>
  <si>
    <t>Prévoir une stratégie de sortie pour les services TIC externalisés, notamment lorsque ceux-ci soutiennent des fonctions critiques ou importantes. Cette stratégie doit permettre de changer de prestataire, de transférer le service ou de le réinternaliser en limitant les interruptions et les risques pour l’activité.</t>
  </si>
  <si>
    <t>Plan de sortie, clauses de réversibilité, procédure de transfert</t>
  </si>
  <si>
    <t>V. PARTAGE D'INFORMATIONS</t>
  </si>
  <si>
    <t>Participer au partage d'informations sur les menaces</t>
  </si>
  <si>
    <t>Mettre en place des accords pour partager des renseignements sur les cybermenaces avec d'autres entités financières.</t>
  </si>
  <si>
    <t>Participer, lorsque cela est approprié, à des dispositifs de partage d’informations sur les cybermenaces et vulnérabilités. Ce partage doit permettre d’améliorer la prévention, la détection, la réponse collective et la capacité du secteur financier à limiter la propagation des risques TIC.</t>
  </si>
  <si>
    <t>Protéger / Répondre</t>
  </si>
  <si>
    <t>Accords de partage d'informations, preuves de participation à des réseaux d'échange</t>
  </si>
  <si>
    <t>VI. APPRENTISSAGE ET EVOLUTION</t>
  </si>
  <si>
    <t>Réaliser des revues post-incident</t>
  </si>
  <si>
    <t>Après un incident TIC majeur, l’organisation doit analyser les causes, vérifier si les procédures ont été suivies et identifier les améliorations nécessaires.</t>
  </si>
  <si>
    <t>Réaliser des revues post-incident après un incident TIC majeur ayant perturbé les activités essentielles. Ces revues doivent analyser les causes, vérifier si les procédures ont été suivies, évaluer l’efficacité de la réponse, de l’escalade, de l’analyse technique et de la communication interne ou externe.</t>
  </si>
  <si>
    <t>Rapport post-incident, plan d’action</t>
  </si>
  <si>
    <t>Intégrer les leçons apprises</t>
  </si>
  <si>
    <t>Les incidents réels, les tests et les audits doivent servir à améliorer l’évaluation des risques TIC.</t>
  </si>
  <si>
    <t>Intégrer de manière continue les leçons tirées des incidents réels, des tests de résilience, des audits, des plans de continuité et des échanges avec d’autres acteurs dans le processus d’évaluation du risque TIC. Ces enseignements doivent servir à revoir et améliorer le cadre de gestion du risque TIC.</t>
  </si>
  <si>
    <t>Plan d’amélioration, suivi des corrections</t>
  </si>
  <si>
    <t>Former et sensibiliser le personnel</t>
  </si>
  <si>
    <t>Le personnel et la direction doivent être formés aux risques TIC et à la résilience numérique.</t>
  </si>
  <si>
    <t>Développer des programmes de sensibilisation à la sécurité TIC et de formation à la résilience opérationnelle numérique. Ces formations doivent être intégrées au parcours de formation du personnel et concerner aussi la direction, avec un niveau adapté aux responsabilités de chacun.</t>
  </si>
  <si>
    <t>Personnel / Organisation</t>
  </si>
  <si>
    <t>Sensibiliser</t>
  </si>
  <si>
    <t>Plan de formation, preuve de participation</t>
  </si>
  <si>
    <t>Suivre les évolutions technologiques et les cybermenaces</t>
  </si>
  <si>
    <t>L’organisation doit suivre les nouvelles menaces et technologies afin d’adapter son dispositif de sécurité.</t>
  </si>
  <si>
    <t>Assurer une veille continue sur les évolutions technologiques, les nouvelles menaces, les formes récentes de cyberattaques et les pratiques de gestion du risque TIC. L’organisation doit utiliser cette veille pour adapter ses exigences de sécurité et maintenir un niveau de résilience numérique adapté.</t>
  </si>
  <si>
    <t>Organisation / Information</t>
  </si>
  <si>
    <t>Améliorer / Détecter</t>
  </si>
  <si>
    <t>Veille cyber, rapports de surveillance</t>
  </si>
  <si>
    <t>Score global DORA</t>
  </si>
  <si>
    <t>Insuffisant</t>
  </si>
  <si>
    <t>Émergent</t>
  </si>
  <si>
    <t>Intermédiaire</t>
  </si>
  <si>
    <t>Confirmé</t>
  </si>
  <si>
    <t>Optimal</t>
  </si>
  <si>
    <t>Total</t>
  </si>
  <si>
    <t>Total Général</t>
  </si>
  <si>
    <t xml:space="preserve">Description </t>
  </si>
  <si>
    <t>Commentaire / recommandation</t>
  </si>
  <si>
    <t>Domaine (Tri)</t>
  </si>
  <si>
    <t>Gouvernance</t>
  </si>
  <si>
    <t>Identifier l’assujettissement NIS2 (secteur, taille, services)</t>
  </si>
  <si>
    <t>Déterminer si l’entité est concernée et définir le périmètre (entités, sites, services).</t>
  </si>
  <si>
    <t>Analyse d’éligibilité NIS2 , cartographie des services critiques , justification écrite datée/validée.</t>
  </si>
  <si>
    <t>Rôles et responsabilités cybersécurité (RSSI, IT, métiers)</t>
  </si>
  <si>
    <t>Définir qui fait quoi : pilotage, exploitation, validation, escalade.</t>
  </si>
  <si>
    <t>Organigramme , fiches de poste/lettres de mission , matrice RACI cybersécurité</t>
  </si>
  <si>
    <t>Supervision par la direction (pilotage, arbitrages)</t>
  </si>
  <si>
    <t>La direction suit les risques cyber, valide les priorités et arbitre les budgets.</t>
  </si>
  <si>
    <t>PV de comité (mensuel/trimestriel) , décisions , budget , KPI/KRI.</t>
  </si>
  <si>
    <t>PSSI + politiques de sécurité maintenues à jour</t>
  </si>
  <si>
    <t>Avoir des règles écrites (accès, mots de passe, sauvegardes, incidents…) et les mettre à jour.</t>
  </si>
  <si>
    <t xml:space="preserve">PSSI , politiques datées , preuve d’approbation direction , preuve de diffusion. </t>
  </si>
  <si>
    <t>Gestion des risques</t>
  </si>
  <si>
    <t>Méthode de gestion des risques cyber formalisée</t>
  </si>
  <si>
    <t>Identifier, évaluer et traiter les risques cyber sur le périmètre NIS2 (SI, services, processus critiques).</t>
  </si>
  <si>
    <t>Méthodologie (ISO 27005 / EBIOS / ....), registre des risques, plan de traitement, revues périodiques, validation.</t>
  </si>
  <si>
    <t>Inventaire des actifs (SI, logiciels, services) et propriétaires</t>
  </si>
  <si>
    <t>Maintenir un inventaire à jour des actifs (postes, serveurs, applis, services cloud) et des propriétaires.</t>
  </si>
  <si>
    <t>Inventaire/CMDB, liste logiciels, cartographie, propriétaires d’actifs, fréquence de mise à jour.</t>
  </si>
  <si>
    <t>Classification des données et règles de protection</t>
  </si>
  <si>
    <t>Identifier les données sensibles et appliquer des règles de protection (accès, stockage, partage, chiffrement).</t>
  </si>
  <si>
    <t>Politique de classification, registre de données sensibles, règles de stockage/partage, exemples d’étiquetage, contrôles.</t>
  </si>
  <si>
    <t>Gestion des vulnérabilités (détection, priorisation, correction)</t>
  </si>
  <si>
    <t>Détecter les vulnérabilités, prioriser selon le risque et corriger dans des délais définis (SLA).</t>
  </si>
  <si>
    <t>Outils de scan, rapports, tickets, SLA, exceptions approuvées, suivi jusqu’à clôture.</t>
  </si>
  <si>
    <t>Patch management (OS, applications, firmware)</t>
  </si>
  <si>
    <t>Définir, appliquer et suivre les mises à jour de sécurité sur le périmètre NIS2 (postes, serveurs, équipements réseau, applications, cloud).</t>
  </si>
  <si>
    <t>Politique de patch management, inventaire des actifs couverts, calendrier/plan de déploiement, tableaux de conformité, rapports de déploiement, gestion des exceptions (approbation + durée), preuves de tests si nécessaire.</t>
  </si>
  <si>
    <t>Contrôle d’accès / IAM</t>
  </si>
  <si>
    <t>Gestion du cycle de vie des comptes (arrivée, départ, mobilité)</t>
  </si>
  <si>
    <t>Créer/modifier/supprimer les comptes de façon contrôlée et rapide, surtout lors des départs et changements de poste.</t>
  </si>
  <si>
    <t>Procédure IAM, workflow/tickets RH-IT, preuves de suppression à la sortie, revues, journal des comptes.</t>
  </si>
  <si>
    <t>MFA obligatoire pour accès distants et comptes sensibles</t>
  </si>
  <si>
    <t>Activer l’authentification forte (MFA) pour VPN, messagerie, cloud, admin et accès critiques.</t>
  </si>
  <si>
    <t>Paramétrage IAM/SSO, taux de couverture MFA, exceptions approuvées, preuves de configuration.</t>
  </si>
  <si>
    <t>Gestion des comptes à privilèges (moindre privilège / PAM)</t>
  </si>
  <si>
    <t>Limiter, contrôler et tracer l’usage des droits admin (comptes nominatif, séparation des rôles, élévation contrôlée).</t>
  </si>
  <si>
    <t>Inventaire comptes admin, preuves de séparation des comptes, coffre/PAM/bastion, logs d’admin, revues.</t>
  </si>
  <si>
    <t>Revue périodique des droits d’accès (recertification)</t>
  </si>
  <si>
    <t>Vérifier régulièrement que chaque utilisateur a uniquement les droits nécessaires (suppression des droits inutiles).</t>
  </si>
  <si>
    <t>Campagnes de recertification, rapports de revue, liste des écarts, actions de correction, périodicité.</t>
  </si>
  <si>
    <t>Incidents &amp; notification</t>
  </si>
  <si>
    <t>Procédure de gestion des incidents cyber (détection, escalade, réponse, rétablissement)</t>
  </si>
  <si>
    <t>Définir et appliquer une procédure pour traiter un incident : rôles, escalade, communication, actions de réponse et retour d’expérience.</t>
  </si>
  <si>
    <t>Procédure / playbooks, chaîne d’escalade, RACI incident, astreinte, modèle de fiche incident, registre des incidents.</t>
  </si>
  <si>
    <t>Détection et réponse aux incidents (supervision / SOC)</t>
  </si>
  <si>
    <t>Détecter rapidement les incidents, qualifier les alertes et répondre avec un suivi (MTTD/MTTR).</t>
  </si>
  <si>
    <t>Organisation SOC interne/externe, périmètre couvert, tickets, rapports d’investigation, KPI MTTD/MTTR, preuves de traitement des alertes.</t>
  </si>
  <si>
    <t>Exercices de crise cyber (tests et amélioration)</t>
  </si>
  <si>
    <t>Tester régulièrement l’organisation (scénarios d’attaque) pour vérifier l’escalade, la coordination, la communication et la reprise.</t>
  </si>
  <si>
    <t>Scénarios, convocations, compte-rendus d’exercice, plan d’amélioration, suivi des actions.</t>
  </si>
  <si>
    <t>Processus de notification des incidents significatifs</t>
  </si>
  <si>
    <t>Être capable d’identifier un incident “significatif” et de notifier selon une procédure et des délais définis, avec traçabilité.</t>
  </si>
  <si>
    <t>Procédure de notification, critères “incident significatif”, modèles (fiche), registre des notifications, preuves de tests/exercices de notification.</t>
  </si>
  <si>
    <t>Continuité / Résilience</t>
  </si>
  <si>
    <t>Sauvegardes : stratégie, couverture et responsabilité</t>
  </si>
  <si>
    <t>Sauvegarder les systèmes et données critiques avec une stratégie définie (RPO/RTO), une couverture complète et des responsabilités claires.</t>
  </si>
  <si>
    <t>Politique de sauvegarde, périmètre couvert (systèmes/données critiques), RPO/RTO, rapports de succès, preuve de supervision, gestion des exceptions.</t>
  </si>
  <si>
    <t>Tests de restauration (preuve de restaurabilité)</t>
  </si>
  <si>
    <t>Tester régulièrement la restauration pour prouver que les sauvegardes sont exploitables (applications/données critiques).</t>
  </si>
  <si>
    <t>Plan de tests, comptes-rendus, preuves de restaurations réussies, périodicité, suivi des écarts/corrections.</t>
  </si>
  <si>
    <t>PRA / PCA (continuité et reprise d’activité)</t>
  </si>
  <si>
    <t>Disposer d’un plan de continuité/reprise pour les services critiques (scénarios, RTO/RPO, responsabilités, communication).</t>
  </si>
  <si>
    <t>PRA/PCA documentés, liste services critiques, RTO/RPO, scénarios (panne, ransomware), responsables, validation direction.</t>
  </si>
  <si>
    <t>Protection des sauvegardes (immutabilité / offline / séparation)</t>
  </si>
  <si>
    <t>Protéger les sauvegardes contre la compromission (ransomware) via isolation, immutabilité, séparation des comptes et contrôle des accès.</t>
  </si>
  <si>
    <t>Paramétrage immutabilité/offline, séparation des comptes admin backup, durcissement, logs d’accès, preuves de protection, revues.</t>
  </si>
  <si>
    <t>Fournisseurs / Supply Chain</t>
  </si>
  <si>
    <t>Identification des fournisseurs critiques</t>
  </si>
  <si>
    <t>Identifier les fournisseurs dont la compromission pourrait impacter les services essentiels ou importants.</t>
  </si>
  <si>
    <t>Cartographie fournisseurs ,Liste des fournisseurs critiques ,Critères de criticité ,Validation de la direction</t>
  </si>
  <si>
    <t>Évaluation des risques fournisseurs</t>
  </si>
  <si>
    <t>Évaluer les risques cybersécurité liés aux fournisseurs avant contractualisation et périodiquement.</t>
  </si>
  <si>
    <t>Questionnaires de sécurité , Évaluations de risques , Rapports d'analyse , Plan d'actions</t>
  </si>
  <si>
    <t>Clauses cybersécurité dans les contrats</t>
  </si>
  <si>
    <t>Intégrer des exigences de sécurité, notification d'incidents et droit d'audit dans les contrats.</t>
  </si>
  <si>
    <t>Contrats ,Clauses sécurité ,SLA sécurité ,Obligations de notification</t>
  </si>
  <si>
    <t>Revue périodique des fournisseurs critiques</t>
  </si>
  <si>
    <t>Vérifier régulièrement le niveau de sécurité des fournisseurs critiques.</t>
  </si>
  <si>
    <t>Revues annuelles ,Rapports d'audit ,Tableaux de suivi ,Plans de remédiation.</t>
  </si>
  <si>
    <t>Protection des données &amp; Cryptographie</t>
  </si>
  <si>
    <t>Chiffrement des données au repos</t>
  </si>
  <si>
    <t>Protéger les données sensibles stockées sur postes, serveurs, bases de données et sauvegardes.</t>
  </si>
  <si>
    <t>Politique de chiffrement ,Configuration BitLocker/LUKS ,Chiffrement BDD ,Rapports de conformité</t>
  </si>
  <si>
    <t>Chiffrement des données en transit</t>
  </si>
  <si>
    <t>Protéger les communications via TLS, VPN ou autres mécanismes sécurisés.</t>
  </si>
  <si>
    <t>Configuration TLS ,VPN ,Certificats ,Rapports de conformité</t>
  </si>
  <si>
    <t>Gestion des clés cryptographiques</t>
  </si>
  <si>
    <t>Assurer la génération, le stockage, la rotation et la révocation des clés.</t>
  </si>
  <si>
    <t>Politique de gestion des clés ,Coffre de clés ,Rotation documentée ,Inventaire des certificats</t>
  </si>
  <si>
    <t>Sensibilisation &amp; Surveillance</t>
  </si>
  <si>
    <t>Programme de sensibilisation cybersécurité</t>
  </si>
  <si>
    <t>Former régulièrement les collaborateurs aux risques cyber et aux bonnes pratiques.</t>
  </si>
  <si>
    <t>Plan de sensibilisation ,Supports de formation ,Feuilles de présence ,Taux de participation</t>
  </si>
  <si>
    <t>Formation des administrateurs et équipes IT</t>
  </si>
  <si>
    <t>Maintenir les compétences techniques des équipes ayant des responsabilités de sécurité.</t>
  </si>
  <si>
    <t>Plan de formation ,Certifications ,Registre des formations</t>
  </si>
  <si>
    <t>Campagnes de phishing simulé</t>
  </si>
  <si>
    <t>Évaluer périodiquement la vigilance des utilisateurs face aux attaques.</t>
  </si>
  <si>
    <t>Résultats des campagnes ,Statistiques de clic ,Actions correctives</t>
  </si>
  <si>
    <t>Journalisation des événements de sécurité</t>
  </si>
  <si>
    <t>Collecter et conserver les journaux nécessaires à la détection et à l'investigation des incidents.</t>
  </si>
  <si>
    <t>Politique de logs ,Configuration SIEM ,Durée de conservation ,Rapports</t>
  </si>
  <si>
    <t>Surveillance continue des événements de sécurité</t>
  </si>
  <si>
    <t>Analyser les événements de sécurité afin d'identifier rapidement les activités suspectes.</t>
  </si>
  <si>
    <t>Règles de détection ,Alertes ,Tableaux de bord ,Rapports SOC</t>
  </si>
  <si>
    <t>Sécurité des réseaux et systèmes</t>
  </si>
  <si>
    <t>Segmentation et cloisonnement réseau</t>
  </si>
  <si>
    <t>Segmenter les réseaux afin de limiter la propagation d'un incident de sécurité et isoler les systèmes critiques, les environnements d'administration et les flux sensibles.</t>
  </si>
  <si>
    <t>Cartographie réseau, Architecture réseau documentée, VLAN, ACL, Configuration Firewall, DMZ, Règles de filtrage, Revues périodiques des flux.</t>
  </si>
  <si>
    <t>09 - Sécurité des réseaux et systèmes</t>
  </si>
  <si>
    <t>Durcissement des systèmes et équipements</t>
  </si>
  <si>
    <t>Définir et appliquer des configurations sécurisées pour les postes de travail, serveurs, équipements réseau, systèmes industriels et services cloud afin de réduire la surface d'attaque.</t>
  </si>
  <si>
    <t>Standards de configuration, Benchmarks CIS ou ANSSI, GPO, Rapports de conformité, Procédures de durcissement, Gestion des exceptions.</t>
  </si>
  <si>
    <t>Sécurisation des architectures et des communications</t>
  </si>
  <si>
    <t>Mettre en œuvre des mécanismes de protection des communications et des architectures critiques afin d'assurer leur disponibilité, intégrité et confidentialité.</t>
  </si>
  <si>
    <t>Schémas d'architecture, Configuration VPN, Chiffrement des flux, Reverse Proxy, WAF, Documentation réseau, Rapports d'audit.</t>
  </si>
  <si>
    <t>Développement sécurisé et gestion des configurations</t>
  </si>
  <si>
    <t>Cycle de développement sécurisé (Secure SDLC)</t>
  </si>
  <si>
    <t>Intégrer les exigences de cybersécurité dans toutes les phases du cycle de développement des applications et services.</t>
  </si>
  <si>
    <t>Politique Secure SDLC, Procédures DevSecOps, Exigences de sécurité projet, Checklists de validation, Documentation de conception sécurisée.</t>
  </si>
  <si>
    <t>10 - Développement sécurisé et gestion des configurations</t>
  </si>
  <si>
    <t>Revue de code et tests de sécurité applicatifs</t>
  </si>
  <si>
    <t>Réaliser des revues de code et des analyses de sécurité avant toute mise en production afin d'identifier les vulnérabilités.</t>
  </si>
  <si>
    <t>Rapports SAST, Rapports DAST, Revues de code, Résultats de tests de pénétration applicatifs, Tickets de correction.</t>
  </si>
  <si>
    <t>Gestion des configurations sécurisées</t>
  </si>
  <si>
    <t>Maintenir des configurations approuvées, documentées et contrôlées pour l'ensemble des systèmes, applications et équipements critiques.</t>
  </si>
  <si>
    <t>Baselines de sécurité, CMDB, Inventaire des configurations, Procédures de changement, Rapports de conformité, Revues périodiques.</t>
  </si>
  <si>
    <t>Résilience avancée et amélioration continue</t>
  </si>
  <si>
    <t>Veille sur les menaces cyber (Threat Intelligence)</t>
  </si>
  <si>
    <t>Surveiller les menaces émergentes et exploiter les informations de sécurité afin d'anticiper les risques pouvant affecter l'organisation.</t>
  </si>
  <si>
    <t>Abonnements CERT-FR, Flux IOC, Rapports de veille, Bulletins de sécurité, Procédure de traitement des alertes, Comptes-rendus d'analyse.</t>
  </si>
  <si>
    <t xml:space="preserve">11 - Résilience avancée et amélioration continue
</t>
  </si>
  <si>
    <t>Tests de sécurité et audits techniques</t>
  </si>
  <si>
    <t>Réaliser régulièrement des évaluations techniques afin de vérifier l'efficacité des mesures de cybersécurité mises en œuvre.</t>
  </si>
  <si>
    <t>Rapports de pentest, Rapports d'audit, Scans de vulnérabilités, Plans de remédiation, Suivi des actions correctives.</t>
  </si>
  <si>
    <t>Gestion de crise cyber</t>
  </si>
  <si>
    <t>Mettre en place une organisation permettant de piloter efficacement les situations de crise cyber majeures et de coordonner les actions de réponse.</t>
  </si>
  <si>
    <t>Plan de gestion de crise, Cellule de crise, Annuaire d'urgence, Procédure de communication, Comptes-rendus d'exercices.</t>
  </si>
  <si>
    <t>11 - Résilience avancée et amélioration continue</t>
  </si>
  <si>
    <t>Mesure de la performance cybersécurité et amélioration continue</t>
  </si>
  <si>
    <t>Définir, suivre et analyser des indicateurs de performance afin d'évaluer l'efficacité du dispositif de cybersécurité et d'améliorer en continu son niveau de maturité.</t>
  </si>
  <si>
    <t>Tableaux de bord KPI/KRI, Rapports de suivi, Revues de direction, Plans d'amélioration, Historique des indicateurs.</t>
  </si>
  <si>
    <t>Score global NIS2</t>
  </si>
  <si>
    <t>Contrôle CIS</t>
  </si>
  <si>
    <t>ID Mesure</t>
  </si>
  <si>
    <t>Description</t>
  </si>
  <si>
    <t>Fonction de Sécurité</t>
  </si>
  <si>
    <t>Groupe (IG)</t>
  </si>
  <si>
    <t>Niveau de Maturité</t>
  </si>
  <si>
    <t>Preuves / Commentaires</t>
  </si>
  <si>
    <t>Contrôle CIS (Tri)</t>
  </si>
  <si>
    <t>INVENTAIRE ET CONTRÔLE DES ACTIFS MATÉRIELS</t>
  </si>
  <si>
    <t>Inventaire et contrôle des actifs matériels</t>
  </si>
  <si>
    <t>Établir et maintenir un inventaire détaillé des actifs de l'entreprise (matériels, cloud, etc.)</t>
  </si>
  <si>
    <t>Établir et tenir à jour un inventaire précis, détaillé et actualisé de tous les actifs de l'entreprise susceptibles de stocker ou de traiter des données, à savoir : les appareils des utilisateurs finaux (y compris les appareils portables et mobiles), les appareils du réseau, les appareils non informatiques/IoT et les serveurs. L'inventaire doit indiquer l'adresse réseau (si elle est statique), l'adresse du matériel, le nom de la machine, le propriétaire de l'actif de l'entreprise, le service pour chaque actif et si l'actif a été autorisé à se connecter au réseau. Pour les appareils mobiles des utilisateurs finaux, des outils de type MDM peuvent soutenir ce processus, le cas échéant. Cet inventaire comprend les biens connectés à l'infrastructure physiquement, virtuellement, à distance et ceux qui se trouvent dans des environnements en nuage. En outre, il inclut les actifs qui sont régulièrement connectés à l'infrastructure du réseau de l'entreprise, même s'ils ne sont pas sous le contrôle de l'entreprise. Examiner et mettre à jour l'inventaire de tous les actifs de l'entreprise deux fois par an, ou plus fréquemment.</t>
  </si>
  <si>
    <t>Maintenir un registre à jour de tous les équipements (physiques, virtuels, cloud) connectés à l'entreprise pour savoir ce qui doit être protégé.</t>
  </si>
  <si>
    <t>Matériel</t>
  </si>
  <si>
    <t>IG1/2/3</t>
  </si>
  <si>
    <t>Fichier Excel existant mais mis à jour manuellement une fois par an. Cloud absent.</t>
  </si>
  <si>
    <t>Mettre en place un outil d'inventaire automatisé (ex: OCS Inventory, GLPI).</t>
  </si>
  <si>
    <t>Traiter les actifs non autorisés (les retirer du réseau, les isoler ou les autoriser)</t>
  </si>
  <si>
    <t>S'assurer qu'il existe un processus permettant de traiter les biens non autorisés sur une base hebdomadaire. L'entreprise peut choisir de retirer l'actif du réseau, d'empêcher l'actif de se connecter à distance au réseau ou de le mettre en quarantaine.</t>
  </si>
  <si>
    <t>Mettre en place un processus hebdomadaire pour détecter et isoler ou déconnecter tout matériel non répertorié sur le réseau.</t>
  </si>
  <si>
    <t>Aucun filtrage réseau en place. Les prises réseau sont en accès libre dans les bureaux.</t>
  </si>
  <si>
    <t>Configurer le port security ou le protocole 802.1x sur les switchs d'accès.</t>
  </si>
  <si>
    <t>Utiliser un outil de découverte active pour identifier les actifs connectés</t>
  </si>
  <si>
    <t>Utiliser un outil de découverte active pour identifier les actifs connectés au réseau de l'entreprise. Configurer l'outil de découverte active pour qu'il s'exécute quotidiennement ou plus fréquemment.</t>
  </si>
  <si>
    <t>Déployer un outil de scan automatique quotidien pour identifier activement tous les appareils connectés au réseau.</t>
  </si>
  <si>
    <t>IG2/3</t>
  </si>
  <si>
    <t>Mettre à jour l'inventaire via l'enregistrement des requêtes DHCP</t>
  </si>
  <si>
    <t>Utiliser la journalisation DHCP sur tous les serveurs DHCP ou les outils de gestion des adresses IP (Internet Protocol) pour mettre à jour l'inventaire des actifs de l'entreprise. Examiner et utiliser les journaux pour mettre à jour l'inventaire des actifs de l'entreprise chaque semaine, ou plus fréquemment.</t>
  </si>
  <si>
    <t>Exploiter les journaux des serveurs DHCP pour mettre à jour l'inventaire matériel au moins une fois par semaine.</t>
  </si>
  <si>
    <t>Utiliser un outil de découverte passive pour identifier les actifs connectés</t>
  </si>
  <si>
    <t>Utiliser un outil de découverte passive pour identifier les actifs connectés au réseau de l'entreprise. Examiner et utiliser les analyses pour mettre à jour l'inventaire des actifs de l'entreprise au moins une fois par semaine, voire plus fréquemment.</t>
  </si>
  <si>
    <t>Utiliser des outils d'écoute réseau (passive) pour identifier les équipements sans perturber le trafic.</t>
  </si>
  <si>
    <t>IG3</t>
  </si>
  <si>
    <t>INVENTAIRE ET CONTRÔLE DES ACTIFS LOGICIELS</t>
  </si>
  <si>
    <t>Inventaire et contrôle des actifs logiciels</t>
  </si>
  <si>
    <t>Établir et maintenir un inventaire des logiciels autorisés</t>
  </si>
  <si>
    <t>Établir et tenir à jour un inventaire détaillé de tous les logiciels sous licence installés sur les biens de l'entreprise. L'inventaire des logiciels doit indiquer le titre, l'éditeur, la date d'installation/d'utilisation initiale et l'objectif commercial de chaque entrée ; le cas échéant, il doit inclure l'URL (Uniform Resource Locator), le(s) magasin(s) d'applications, la(les) version(s), le mécanisme de déploiement et la date de mise hors service. Examiner et mettre à jour l'inventaire des logiciels deux fois par an, ou plus fréquemment.</t>
  </si>
  <si>
    <t>Créer et tenir à jour la liste de tous les logiciels dont l'utilisation est officiellement approuvée dans l'entreprise.</t>
  </si>
  <si>
    <t>Logiciel</t>
  </si>
  <si>
    <t xml:space="preserve"> Une liste des logiciels "validés" existe, mais l'audit a révélé la présence d'outils non autorisés (Dropbox personnel, vieux VLC) sur 15% des postes.</t>
  </si>
  <si>
    <t>Coupler l'inventaire avec une solution de contrôle applicatif (type AppLocker) pour bloquer l'exécution des logiciels non listés.</t>
  </si>
  <si>
    <t>S'assurer que les logiciels autorisés sont toujours supportés</t>
  </si>
  <si>
    <t>Veiller à ce que seuls les logiciels actuellement pris en charge soient désignés comme autorisés dans l'inventaire des logiciels pour les actifs de l'entreprise. Si un logiciel n'est pas pris en charge, mais qu'il est nécessaire à l'accomplissement de la mission de l'entreprise, documenter une exception détaillant les contrôles d'atténuation et l'acceptation du risque résiduel. Pour tout logiciel non pris en charge et ne faisant pas l'objet d'une documentation d'exception, le désigner comme non autorisé. Examiner la liste des logiciels pour vérifier leur prise en charge au moins une fois par mois, ou plus fréquemment.</t>
  </si>
  <si>
    <t>Vérifier que les logiciels autorisés reçoivent toujours des mises à jour de sécurité de la part de leur éditeur.</t>
  </si>
  <si>
    <t>Traiter les logiciels non autorisés</t>
  </si>
  <si>
    <t>Veiller à ce que les logiciels non autorisés soient retirés des actifs de l'entreprise ou fassent l'objet d'une exception documentée. Révision mensuelle ou plus fréquente.</t>
  </si>
  <si>
    <t>Identifier et supprimer ou bloquer tous les logiciels installés qui ne figurent pas dans l'inventaire autorisé.</t>
  </si>
  <si>
    <t>Utiliser des outils d'inventaire logiciel automatisés</t>
  </si>
  <si>
    <t xml:space="preserve">Utiliser, si possible, des outils d'inventaire des logiciels dans toute l'entreprise pour automatiser la découverte et la documentation des logiciels installés. </t>
  </si>
  <si>
    <t>Mettre en place un outil d'inventaire logiciel qui remonte automatiquement les applications installées sur le parc.</t>
  </si>
  <si>
    <t>Autoriser l'exécution de logiciels via liste d'autorisation (Allowlisting)</t>
  </si>
  <si>
    <t>Utiliser des contrôles techniques, tels que des listes d'autorisation d'applications, pour s'assurer que seuls les logiciels autorisés peuvent s'exécuter ou être consultés. Réévaluer deux fois par an, ou plus fréquemment.</t>
  </si>
  <si>
    <t>Bloquer par défaut l'exécution des programmes non approuvés via un système de liste blanche (allowlisting).</t>
  </si>
  <si>
    <t>Autoriser l'exécution de bibliothèques via liste d'autorisation</t>
  </si>
  <si>
    <t xml:space="preserve"> Utiliser des contrôles techniques pour s'assurer que seules les bibliothèques logicielles autorisées, telles que les fichiers .dll, .ocx et .so, sont autorisées à être chargées dans un processus système. Empêcher les bibliothèques non autorisées de se charger dans un processus système. Réévaluer deux fois par an ou plus fréquemment.</t>
  </si>
  <si>
    <t>Étendre la liste blanche pour contrôler également l'exécution des bibliothèques système (.dll, .so).</t>
  </si>
  <si>
    <t>Autoriser l'exécution de scripts via liste d'autorisation</t>
  </si>
  <si>
    <t>Utilisez des contrôles techniques, tels que les signatures numériques et le contrôle des versions, pour vous assurer que seuls les scripts autorisés, tels que les fichiers .ps1 et .py spécifiques, sont autorisés à s'exécuter. Empêcher les scripts non autorisés de s'exécuter. Réévaluer deux fois par an ou plus fréquemment.</t>
  </si>
  <si>
    <t>Restreindre l'exécution de scripts (PowerShell, Python) aux seuls éléments explicitement validés.</t>
  </si>
  <si>
    <t>Profil</t>
  </si>
  <si>
    <t>Objectif de sécurité</t>
  </si>
  <si>
    <t>PROTECTION DES DONNÉES</t>
  </si>
  <si>
    <t>Protection des données</t>
  </si>
  <si>
    <t>Établir et maintenir un processus de gestion des données</t>
  </si>
  <si>
    <t>Établir et maintenir un processus documenté de gestion des données. Dans le cadre de ce processus, la sensibilité des données, le propriétaire des données, le traitement des données, les limites de conservation des données et les exigences en matière d'élimination doivent être pris en compte, sur la base des normes de sensibilité et de conservation en vigueur dans l'entreprise. Réviser et mettre à jour la documentation chaque année, ou lorsque des changements importants interviennent dans l'entreprise et pourraient avoir une incidence sur cette mesure de sauvegarde.</t>
  </si>
  <si>
    <t>Définir une politique claire sur la manière de classer, traiter et protéger les données selon leur criticité.</t>
  </si>
  <si>
    <t>Données</t>
  </si>
  <si>
    <t>Le traitement des données se fait de manière ad hoc. Aucune politique formalisée de classification (Public, Interne, Confidentiel) n'a été rédigée.</t>
  </si>
  <si>
    <t>Rédiger et faire valider par la direction une politique de classification et de protection de l'information.</t>
  </si>
  <si>
    <t>IG1</t>
  </si>
  <si>
    <t>Essentiel</t>
  </si>
  <si>
    <t>Mettre en place l'hygiène informatique de base pour parer aux attaques non ciblées les plus courantes.</t>
  </si>
  <si>
    <t>Établir et maintenir un inventaire des données</t>
  </si>
  <si>
    <t>Établir et tenir à jour un inventaire des données basé sur le processus de gestion des données de l'entreprise. Inventorier les données sensibles au moins une fois par an. Réviser et mettre à jour l'inventaire au moins une fois par an, en accordant la priorité aux données sensibles.</t>
  </si>
  <si>
    <t>Cartographier où sont stockées les données sensibles (serveurs, cloud, postes) pour mieux les cibler.</t>
  </si>
  <si>
    <t>IG2</t>
  </si>
  <si>
    <t>Avancé</t>
  </si>
  <si>
    <t>Se défendre contre des attaques plus sophistiquées et mieux structurées (ex: ransomwares complexes).</t>
  </si>
  <si>
    <t>Configurer les listes de contrôle d'accès aux données</t>
  </si>
  <si>
    <t>Configurer les listes de contrôle d'accès aux données en fonction du besoin d'en connaître de l'utilisateur. Appliquer des listes de contrôle d'accès aux données, également connues sous le nom d'autorisations d'accès, aux systèmes de fichiers locaux et distants, aux bases de données et aux applications.</t>
  </si>
  <si>
    <t>Configurer les droits d'accès pour que les employés n'aient accès qu'aux données nécessaires à leur fonction.</t>
  </si>
  <si>
    <t>Expert</t>
  </si>
  <si>
    <t>Assurer la résilience face à des attaques ciblées et furtives (espionnage industriel).</t>
  </si>
  <si>
    <t>Appliquer la politique de conservation des données</t>
  </si>
  <si>
    <t>Conserver les données conformément au processus documenté de gestion des données de l'entreprise. La conservation des données doit comprendre des délais minimums et maximums.</t>
  </si>
  <si>
    <t>Appliquer des règles automatiques pour conserver ou détruire les données selon les exigences légales et métiers.</t>
  </si>
  <si>
    <t>Supprimer les données de manière sécurisée</t>
  </si>
  <si>
    <t>Éliminer les données en toute sécurité, conformément au processus documenté de gestion des données de l'entreprise. Veiller à ce que le processus et la méthode d'élimination soient proportionnels à la sensibilité des données.</t>
  </si>
  <si>
    <t>Mettre en place un effacement cryptographique ou une destruction physique sûre pour les supports en fin de vie.</t>
  </si>
  <si>
    <t>Chiffrer les données sur les terminaux utilisateurs</t>
  </si>
  <si>
    <t>Chiffrer les données sur les appareils des utilisateurs finaux contenant des données sensibles. Les exemples de mise en œuvre sont les suivants : Windows BitLocker®, Apple FileVault Windows BitLocker®, Apple FileVault®, Linux® dm-crypt.</t>
  </si>
  <si>
    <t>Activer le chiffrement de disque (ex: BitLocker) sur tous les ordinateurs et appareils mobiles des utilisateurs.</t>
  </si>
  <si>
    <t>À qui s'applique cette mesure ?</t>
  </si>
  <si>
    <t>Explication</t>
  </si>
  <si>
    <t>CONFIGURATION SÉCURISÉE DES ACTIFS ET LOGICIELS</t>
  </si>
  <si>
    <t>Configuration sécurisée des actifs et logiciels</t>
  </si>
  <si>
    <t>Établir et maintenir un processus de configuration sécurisée</t>
  </si>
  <si>
    <t>Établir et maintenir un processus de configuration sécurisée documenté pour les actifs de l'entreprise (dispositifs de l'utilisateur final, y compris portables et mobiles, dispositifs non informatiques/IoT, et serveurs) et les logiciels (systèmes d'exploitation et applications). Examiner et mettre à jour la documentation chaque année, ou lorsque des changements importants au sein de l'entreprise se produisent et pourraient avoir un impact sur cette mesure de sauvegarde.</t>
  </si>
  <si>
    <t>Standardiser les configurations de sécurité (hardening) pour tous les systèmes d'exploitation et serveurs.</t>
  </si>
  <si>
    <t>Infrastructure</t>
  </si>
  <si>
    <t>Les postes Windows sont déployés via un master durci par GPO. En revanche, les serveurs Linux sont configurés manuellement "à la volée".</t>
  </si>
  <si>
    <t>Créer des scripts de durcissement standardisés (Ansible / Chef) pour automatiser et unifier la configuration des serveurs Linux.</t>
  </si>
  <si>
    <t>Toutes les entreprises (IG1 + IG2 + IG3)</t>
  </si>
  <si>
    <t>Ce sont les fondations. Même la plus grande banque (IG3) doit appliquer ces mesures d'hygiène de base. C'est le périmètre principal de notre outil.</t>
  </si>
  <si>
    <t>Mettre en place un processus de configuration sécurisée pour l'infrastructure réseau</t>
  </si>
  <si>
    <t>Établir et maintenir un processus de configuration sécurisé et documenté pour les dispositifs du réseau. Examiner et mettre à jour la documentation chaque année, ou lorsque des changements importants interviennent dans l'entreprise et pourraient avoir une incidence sur cette mesure de sauvegarde.</t>
  </si>
  <si>
    <t>Appliquer des standards de sécurité stricts pour la configuration des équipements réseau (firewalls, routeurs).</t>
  </si>
  <si>
    <t>Entreprises Avancées et Expertes (IG2 + IG3)</t>
  </si>
  <si>
    <t>Une entreprise IG1 n'est pas obligée de faire cette mesure (notée "N/A"). En revanche, une entreprise IG2 ou IG3 doit obligatoirement la valider.</t>
  </si>
  <si>
    <t>GESTION DES COMPTES</t>
  </si>
  <si>
    <t>Gestion des comptes</t>
  </si>
  <si>
    <t>Établir et maintenir un inventaire des comptes</t>
  </si>
  <si>
    <t>Établir et tenir à jour un inventaire de tous les comptes gérés dans l'entreprise. L'inventaire doit au minimum inclure les comptes utilisateurs, les comptes administrateurs et les comptes de service. L'inventaire doit au moins contenir le nom de la personne, son nom d'utilisateur, les dates de début et de fin et le service. Valider que tous les comptes actifs sont autorisés, selon un calendrier récurrent au minimum trimestriel, ou plus fréquemment.</t>
  </si>
  <si>
    <t>Gérer un registre centralisé de tous les comptes (employés, prestataires, services) pour suivre qui a accès à quoi.</t>
  </si>
  <si>
    <t>Comptes (Utilisateurs/Admin)</t>
  </si>
  <si>
    <t>L'Active Directory est propre. Un script désactive automatiquement les comptes inactifs depuis plus de 45 jours.</t>
  </si>
  <si>
    <t>Étendre cette procédure d'inventaire automatisé aux comptes locaux des serveurs et aux applications SaaS métiers.</t>
  </si>
  <si>
    <t>Entreprises Expertes uniquement (IG3)</t>
  </si>
  <si>
    <t>Ce sont les mesures de pointe. Elles ne sont exigées que pour les organismes ayant le plus haut niveau de maturité et de criticité.</t>
  </si>
  <si>
    <t>Utiliser des mots de passe uniques</t>
  </si>
  <si>
    <t xml:space="preserve">Utiliser des mots de passe uniques pour tous les actifs de l'entreprise. Les meilleures pratiques comprennent, au minimum, un mot de passe de 8 caractères pour les comptes utilisant l'authentification multifactorielle (MFA) et un mot de passe de 14 caractères pour les comptes n'utilisant pas l'authentification multifactorielle. </t>
  </si>
  <si>
    <t>Imposer des mots de passe différents pour chaque système et éviter les comptes partagés.</t>
  </si>
  <si>
    <t>Désactiver les comptes dormants</t>
  </si>
  <si>
    <t>Supprimer ou désactiver tout compte dormant après une période d'inactivité de 45 jours, lorsque cela est possible.</t>
  </si>
  <si>
    <t>Désactiver automatiquement ou manuellement les comptes n'ayant pas été utilisés depuis un certain temps (ex: 45 jours).</t>
  </si>
  <si>
    <t>Restreindre les privilèges administrateur aux comptes dédiés</t>
  </si>
  <si>
    <t>Restreindre les privilèges d'administrateur aux comptes d'administrateur dédiés aux actifs de l'entreprise. Effectuer les activités informatiques générales, telles que la navigation sur Internet, le courrier électronique et l'utilisation de la suite de productivité, à partir du compte principal non privilégié de l'utilisateur.</t>
  </si>
  <si>
    <t>Séparer les activités d'administration des activités courantes (internet, mail) en utilisant des comptes distincts.</t>
  </si>
  <si>
    <t>GESTION DU CONTRÔLE D'ACCÈS</t>
  </si>
  <si>
    <t>Gestion du contrôle d'accès</t>
  </si>
  <si>
    <t>Établir un processus d'octroi et de révocation des accès</t>
  </si>
  <si>
    <t>Établir et suivre une procédure documentée, de préférence automatisée, pour accorder l'accès aux actifs de l'entreprise lors de l'embauche ou du changement de rôle d'un utilisateur.</t>
  </si>
  <si>
    <t>Formaliser les étapes de création, modification et suppression rapide des droits d'accès suite aux mouvements RH.</t>
  </si>
  <si>
    <t>Accès &amp; Identités</t>
  </si>
  <si>
    <t>Les accès sont donnés par mail au Service Desk par les managers. Pas de système de ticket traçable avec validation hiérarchique stricte.</t>
  </si>
  <si>
    <t>Mettre en place un workflow d'approbation formel dans l'outil de ticketing (GLPI/Jira) pour chaque demande de privilège.</t>
  </si>
  <si>
    <t>Exiger l'authentification multifacteur (MFA) pour les accès distants</t>
  </si>
  <si>
    <t>Établir et suivre une procédure, de préférence automatisée, pour révoquer l'accès aux actifs de l'entreprise, en désactivant les comptes immédiatement en cas de résiliation, de révocation des droits ou de changement de rôle d'un utilisateur. La désactivation des comptes, plutôt que leur suppression, peut s'avérer nécessaire pour préserver les pistes d'audit.</t>
  </si>
  <si>
    <t>Rendre obligatoire la validation en deux étapes (MFA) pour toute connexion depuis l'extérieur de l'entreprise (VPN).</t>
  </si>
  <si>
    <t>Exiger le MFA pour les accès administrateurs</t>
  </si>
  <si>
    <t>Exiger que toutes les applications de l'entreprise ou de tiers exposées à l'extérieur appliquent la MFA, lorsqu'elle est prise en charge. L'application de la MFA par l'intermédiaire d'un service d'annuaire ou d'un fournisseur de SSO constitue une mise en œuvre satisfaisante de cette mesure de sauvegarde.</t>
  </si>
  <si>
    <t>Imposer le MFA pour toutes les connexions utilisant des droits d'administration (accès serveurs, cloud).</t>
  </si>
  <si>
    <t>GESTION CONTINUE DES VULNÉRABILITÉS</t>
  </si>
  <si>
    <t>Gestion continue des vulnérabilités</t>
  </si>
  <si>
    <t>Établir et maintenir un processus de gestion des vulnérabilités</t>
  </si>
  <si>
    <t>Établir et maintenir un processus documenté de gestion des vulnérabilités pour les actifs de l'entreprise. Réviser et mettre à jour la documentation chaque année, ou lorsque des changements importants interviennent dans l'entreprise et pourraient avoir une incidence sur cette mesure de sauvegarde.</t>
  </si>
  <si>
    <t>Définir un processus régulier pour identifier, évaluer et prioriser les failles de sécurité des systèmes.</t>
  </si>
  <si>
    <t>Systèmes &amp; Applications</t>
  </si>
  <si>
    <t>Des scans Nessus sont lancés tous les trimestres. Les failles critiques sont corrigées, mais souvent au-delà de 30 jours.</t>
  </si>
  <si>
    <t>Augmenter la fréquence des scans à un rythme hebdomadaire et fixer un SLA de 14 jours pour le patch des failles critiques.</t>
  </si>
  <si>
    <t>Établir et maintenir un processus de remédiation</t>
  </si>
  <si>
    <t>Établir et maintenir une stratégie de remédiation basée sur les risques, documentée dans un processus de remédiation, avec des révisions mensuelles ou plus fréquentes.</t>
  </si>
  <si>
    <t>Mettre en place une procédure claire pour appliquer les correctifs (patchs) selon la criticité des vulnérabilités.</t>
  </si>
  <si>
    <t>Exécuter des analyses de vulnérabilités automatisées</t>
  </si>
  <si>
    <t>Effectuer des mises à jour des systèmes d'exploitation sur les actifs de l'entreprise par le biais d'une gestion automatisée des correctifs sur une base mensuelle ou plus fréquente.</t>
  </si>
  <si>
    <t>Utiliser un scanner de vulnérabilités pour automatiser la détection des failles sur le réseau.</t>
  </si>
  <si>
    <t>Effectuer une gestion des correctifs applicatifs</t>
  </si>
  <si>
    <t>Effectuer des mises à jour d'applications sur les actifs de l'entreprise par le biais d'une gestion automatisée des correctifs sur une base mensuelle ou plus fréquente.</t>
  </si>
  <si>
    <t>Gérer de manière centralisée le déploiement des mises à jour pour les applications tierces.</t>
  </si>
  <si>
    <t>GESTION DES JOURNAUX D'AUDIT</t>
  </si>
  <si>
    <t>Gestion des journaux d'audit</t>
  </si>
  <si>
    <t>Établir et maintenir un processus de gestion des journaux d'audit</t>
  </si>
  <si>
    <t>Établir et maintenir un processus documenté de gestion des journaux d'audit qui définit les exigences de l'entreprise en matière de journalisation. Il s'agit au minimum de la collecte, de l'examen et de la conservation des journaux d'audit pour les actifs de l'entreprise. Examiner et mettre à jour la documentation chaque année ou lorsque des changements importants interviennent au sein de l'entreprise et sont susceptibles d'avoir une incidence sur cette mesure de sauvegarde.</t>
  </si>
  <si>
    <t>Identifier quels journaux d'événements (logs) doivent être conservés pour garantir la traçabilité en cas d'incident.</t>
  </si>
  <si>
    <t>Journaux d'Audit (Logs)</t>
  </si>
  <si>
    <t>Les serveurs génèrent des logs en local. En cas d'incident, il faut se connecter machine par machine. Aucun serveur centralisé.</t>
  </si>
  <si>
    <t>Déployer un collecteur central de logs (Syslog ou SIEM léger) pour regrouper et protéger les traces contre l'effacement.</t>
  </si>
  <si>
    <t>Collecter les journaux d'audit</t>
  </si>
  <si>
    <t>Collecter les journaux d'audit. S'assurer que la journalisation, conformément au processus de gestion des journaux d'audit de l'entreprise, a été activée pour tous les actifs de l'entreprise.</t>
  </si>
  <si>
    <t>Rassembler les logs des systèmes critiques vers un serveur de journalisation central.</t>
  </si>
  <si>
    <t>S'assurer d'un stockage adéquat des journaux d'audit</t>
  </si>
  <si>
    <t>Veiller à ce que les destinations de journalisation disposent d'un espace de stockage suffisant pour se conformer au processus de gestion des journaux d'audit de l'entreprise.</t>
  </si>
  <si>
    <t>Dimensionner l'espace de stockage pour conserver les journaux pendant la durée légale et en assurer l'intégrité.</t>
  </si>
  <si>
    <t>PROTECTIONS DE LA MESSAGERIE ET DU NAVIGATEUR WEB</t>
  </si>
  <si>
    <t>Protections de la messagerie et du navigateur web</t>
  </si>
  <si>
    <t>Assurer l'utilisation de navigateurs web et de clients de messagerie supportés</t>
  </si>
  <si>
    <t>Veiller à ce que seuls les navigateurs et les clients de messagerie entièrement pris en charge soient autorisés à s'exécuter dans l'entreprise, en utilisant uniquement la dernière version des navigateurs et des clients de messagerie fournie par le fournisseur.</t>
  </si>
  <si>
    <t>Imposer l'utilisation exclusif de navigateurs et clients e-mail récents et supportés par leurs éditeurs.</t>
  </si>
  <si>
    <t>Navigateurs &amp; Messagerie</t>
  </si>
  <si>
    <t>Les navigateurs (Edge/Chrome) et clients mail sont gérés par le MDM et forcés à se mettre à jour automatiquement dès la sortie d'un patch.</t>
  </si>
  <si>
    <t>Maintenir le niveau de configuration actuel. Auditer périodiquement les stratégies MDM pour éviter les dérives.</t>
  </si>
  <si>
    <t>Utiliser des services de filtrage DNS</t>
  </si>
  <si>
    <t>Utiliser des services de filtrage DNS sur tous les appareils des utilisateurs finaux, y compris les équipements distants et sur site, pour bloquer l'accès aux domaines malveillants connus.</t>
  </si>
  <si>
    <t>Bloquer l'accès aux sites malveillants connus en utilisant un service de filtrage au niveau DNS.</t>
  </si>
  <si>
    <t>DÉFENSES CONTRE LES LOGICIELS MALVEILLANTS</t>
  </si>
  <si>
    <t>Défenses contre les logiciels malveillants</t>
  </si>
  <si>
    <t>Déployer et maintenir un logiciel anti-malware</t>
  </si>
  <si>
    <t>Déployer et maintenir un logiciel anti-malware sur tous les actifs de l'entreprise.</t>
  </si>
  <si>
    <t>Installer une solution antivirus/EDR sur l'ensemble des postes et serveurs pour détecter les codes malveillants.</t>
  </si>
  <si>
    <t>Terminaux (Endpoints)</t>
  </si>
  <si>
    <t>Un EDR moderne (CrowdStrike/Defender) est déployé sur 98% des postes de travail. Il manque quelques serveurs de production anciens.</t>
  </si>
  <si>
    <t>Planifier une fenêtre de maintenance pour installer l'agent EDR sur les 2% de serveurs restants.</t>
  </si>
  <si>
    <t>Configurer les mises à jour automatiques des signatures anti-malware</t>
  </si>
  <si>
    <t>Configurer des mises à jour automatiques pour les fichiers de signatures anti-malware sur tous les actifs de l'entreprise.</t>
  </si>
  <si>
    <t>S'assurer que les bases de signatures des antivirus se mettent à jour de manière centralisée et automatique.</t>
  </si>
  <si>
    <t>Désactiver l'exécution automatique (AutoRun)</t>
  </si>
  <si>
    <t>Désactiver les fonctions d'exécution automatique autorun et autoplay pour les supports amovibles.</t>
  </si>
  <si>
    <t>Empêcher le lancement automatique des fichiers (AutoRun) lors de l'insertion de clés USB ou médias amovibles.</t>
  </si>
  <si>
    <t>RESTAURATION DES DONNÉES</t>
  </si>
  <si>
    <t>Restauration des données</t>
  </si>
  <si>
    <t>Établir et maintenir un processus de restauration des données</t>
  </si>
  <si>
    <t>Établir et maintenir un processus documenté de récupération des données. Dans le cadre de ce processus, il convient de définir l'étendue des activités de récupération des données, l'ordre de priorité de la récupération et la sécurité des données de sauvegarde. Réviser et mettre à jour la documentation chaque année, ou lorsque des changements importants interviennent dans l'entreprise et pourraient avoir une incidence sur cette mesure de sauvegarde.</t>
  </si>
  <si>
    <t>Définir et documenter la procédure exacte permettant de restaurer les données en cas de sinistre ou de ransomware.</t>
  </si>
  <si>
    <t>Sauvegardes</t>
  </si>
  <si>
    <t>Recover</t>
  </si>
  <si>
    <t>Les sauvegardes VEEAM tournent toutes les nuits vers un NAS. Cependant, la procédure de restauration n'est ni documentée ni testée régulièrement.</t>
  </si>
  <si>
    <t>Rédiger la procédure de restauration et planifier un test fonctionnel trimestriel (restauration d'une VM critique en environnement isolé).</t>
  </si>
  <si>
    <t>Effectuer des sauvegardes automatisées</t>
  </si>
  <si>
    <t>Effectuer des sauvegardes automatisées des actifs de l'entreprise concernés. Effectuer des sauvegardes hebdomadaires, ou plus fréquemment, en fonction de la sensibilité des données.</t>
  </si>
  <si>
    <t>Automatiser les sauvegardes régulières des systèmes critiques sans intervention manuelle.</t>
  </si>
  <si>
    <t>Protéger les données de sauvegarde</t>
  </si>
  <si>
    <t>Protéger les données de récupération par des contrôles équivalents aux données d'origine. Cryptage de référence ou séparation des données, en fonction des besoins.</t>
  </si>
  <si>
    <t>Sécuriser les serveurs de sauvegarde avec des droits stricts pour éviter qu'ils ne soient compromis en même temps que le reste.</t>
  </si>
  <si>
    <t>Établir et maintenir une instance isolée des sauvegardes</t>
  </si>
  <si>
    <t>Établir et maintenir une instance isolée des données de récupération. Les exemples de mise en œuvre comprennent le contrôle des versions des destinations de sauvegarde par le biais de systèmes ou de services hors ligne, dans le nuage ou hors site.</t>
  </si>
  <si>
    <t>Conserver une copie des sauvegardes totalement déconnectée du réseau (hors ligne) ou immuable.</t>
  </si>
  <si>
    <t>Tester la restauration des données</t>
  </si>
  <si>
    <t>Tester la restauration des sauvegardes tous les trimestres, ou plus fréquemment, pour un échantillon d'actifs de l'entreprise entrant dans le champ d'application.</t>
  </si>
  <si>
    <t>Réaliser des exercices réguliers de restauration pour vérifier que les sauvegardes sont fonctionnelles et rapides.</t>
  </si>
  <si>
    <t>GESTION DE L'INFRASTRUCTURE RÉSEAU</t>
  </si>
  <si>
    <t>Gestion de l'infrastructure réseau</t>
  </si>
  <si>
    <t>S'assurer de l'actualité de l'infrastructure réseau</t>
  </si>
  <si>
    <t>Veiller à ce que l'infrastructure du réseau soit maintenue à jour. Les exemples de mise en œuvre comprennent l'exécution de la dernière version stable du logiciel et/ou l'utilisation d'offres de réseau en tant que service (NaaS) actuellement prises en charge. Examiner les versions des logiciels tous les mois, ou plus fréquemment, pour vérifier qu'ils sont bien pris en charge.</t>
  </si>
  <si>
    <t>Vérifier régulièrement que les équipements réseau (switchs, routeurs) sont supportés et à jour techniquement.</t>
  </si>
  <si>
    <t>Infrastructure Réseau</t>
  </si>
  <si>
    <t>Les routeurs et pare-feux sont mis à jour une fois par an. Le processus est manuel et requiert l'arrêt des services.</t>
  </si>
  <si>
    <t>Définir un processus de mise à jour semi-annuel et concevoir une architecture réseau haute dispo (HA) pour patcher sans coupure.</t>
  </si>
  <si>
    <t>Établir et maintenir une architecture réseau sécurisée</t>
  </si>
  <si>
    <t>Concevoir et maintenir une architecture de réseau sécurisée. Une architecture de réseau sécurisée doit au moins prendre en compte la segmentation, le moindre privilège et la disponibilité. Les exemples de mise en œuvre ne comprendront pas uniquement de la documentation, mais aussi des éléments de politique et de conception.</t>
  </si>
  <si>
    <t>Segmenter le réseau pour isoler les systèmes critiques et filtrer les flux entre les différentes zones.</t>
  </si>
  <si>
    <t>SURVEILLANCE ET DÉFENSE DU RÉSEAU</t>
  </si>
  <si>
    <t>Surveillance et défense du réseau</t>
  </si>
  <si>
    <t>Centraliser les alertes de sécurité</t>
  </si>
  <si>
    <t>Centraliser les alertes d'événements de sécurité sur l'ensemble des actifs de l'entreprise pour la corrélation et l'analyse des journaux. La mise en œuvre des meilleures pratiques nécessite l'utilisation d'un SIEM, qui comprend des alertes de corrélation d'événements définies par le fournisseur. Une plate-forme d'analyse des journaux configurée avec des alertes de corrélation pertinentes pour la sécurité satisfait également à cette mesure de sauvegarde.</t>
  </si>
  <si>
    <t>Regrouper les alertes de sécurité (antivirus, réseau, système) sur un seul écran pour faciliter la surveillance.</t>
  </si>
  <si>
    <t>Réseau (Flux &amp; Alertes)</t>
  </si>
  <si>
    <t>Aucune sonde réseau n'est en place. Les alertes du pare-feu ne sont pas surveillées activement (envoyées sur une boîte mail générique non lue).</t>
  </si>
  <si>
    <t>Rediriger les alertes critiques du pare-feu vers l'outil de ticketing ou un canal Teams/Slack dédié à l'équipe sécurité.</t>
  </si>
  <si>
    <t>Déployer un système de détection d'intrusion réseau (NIDS)</t>
  </si>
  <si>
    <t>Déployer une solution de détection d'intrusion basée sur l'hôte sur les actifs de l'entreprise, lorsque cela est approprié et/ou pris en charge.</t>
  </si>
  <si>
    <t>Installer des sondes de détection d'intrusion (NIDS) pour repérer les comportements anormaux sur le réseau.</t>
  </si>
  <si>
    <t>SENSIBILISATION ET FORMATION À LA SÉCURITÉ</t>
  </si>
  <si>
    <t>Sensibilisation et formation à la sécurité</t>
  </si>
  <si>
    <t>Établir et maintenir un programme de sensibilisation à la sécurité</t>
  </si>
  <si>
    <t>Établir et maintenir un programme de sensibilisation à la sécurité. L'objectif d'un programme de sensibilisation à la sécurité est de former le personnel de l'entreprise à la manière d'interagir avec les biens et les données de l'entreprise de manière sécurisée. Organiser une formation à l'embauche et, au minimum, une fois par an. Réviser et mettre à jour le contenu chaque année, ou lorsque des changements importants interviennent dans l'entreprise et peuvent avoir une incidence sur la présente sauvegarde.</t>
  </si>
  <si>
    <t>Créer un plan annuel pour former tous les employés aux bonnes pratiques de sécurité informatique.</t>
  </si>
  <si>
    <t>Ressources Humaines</t>
  </si>
  <si>
    <t>Former les employés à la reconnaissance des attaques d'ingénierie sociale</t>
  </si>
  <si>
    <t>Former les membres du personnel à reconnaître les attaques d'ingénierie sociale, telles que le phishing, la compromission des courriers électroniques professionnels (BEC), le pretexting et le tailgating.</t>
  </si>
  <si>
    <t>Entraîner spécifiquement les équipes à détecter l'hameçonnage (phishing) et l'ingénierie sociale.</t>
  </si>
  <si>
    <t>GESTION DES PRESTATAIRES DE SERVICES</t>
  </si>
  <si>
    <t>Gestion des prestataires de services</t>
  </si>
  <si>
    <t>Établir et maintenir un inventaire des prestataires de services</t>
  </si>
  <si>
    <t>Établir et tenir à jour un inventaire des fournisseurs de services. Cet inventaire doit dresser la liste de tous les fournisseurs de services connus, indiquer leur(s) classification(s) et désigner un contact au sein de l'entreprise pour chaque fournisseur de services. L'inventaire doit être revu et mis à jour chaque année, ou lorsque des changements importants interviennent dans l'entreprise et sont susceptibles d'avoir une incidence sur cette mesure de sauvegarde.</t>
  </si>
  <si>
    <t>Lister tous les partenaires et sous-traitants ayant un accès à l'infrastructure ou aux données de l'entreprise.</t>
  </si>
  <si>
    <t>Prestataires / Fournisseurs</t>
  </si>
  <si>
    <t>Établir et maintenir une politique de gestion des prestataires</t>
  </si>
  <si>
    <t>Établir et maintenir une politique de gestion des fournisseurs de services. Veiller à ce que cette politique traite de la classification, de l'inventaire, de l'évaluation, de la surveillance et de la mise hors service des fournisseurs de services. Réviser et mettre à jour la politique chaque année, ou lorsque des changements importants interviennent au sein de l'entreprise et sont susceptibles d'avoir une incidence sur la présente mesure de sauvegarde.</t>
  </si>
  <si>
    <t>Établir des règles de sécurité contractuelles et vérifier le niveau de cybersécurité des prestataires.</t>
  </si>
  <si>
    <t>SÉCURITÉ DES LOGICIELS APPLICATIFS</t>
  </si>
  <si>
    <t>Sécurité des logiciels applicatifs</t>
  </si>
  <si>
    <t>Établir et maintenir un processus de développement logiciel sécurisé</t>
  </si>
  <si>
    <t>Établir et maintenir un processus de développement d'applications sécurisées. Dans le cadre de ce processus, des éléments tels que les normes de conception d'applications sécurisées, les pratiques de codage sécurisées, la formation des développeurs, la gestion des vulnérabilités, la sécurité des codes tiers et les procédures de test de la sécurité des applications doivent être pris en compte. Réviser et mettre à jour la documentation chaque année, ou lorsque des changements importants interviennent dans l'entreprise et pourraient avoir une incidence sur cette mesure de sauvegarde.</t>
  </si>
  <si>
    <t>Intégrer des vérifications de sécurité dès la conception pour tout logiciel développé en interne.</t>
  </si>
  <si>
    <t>Logiciels (Développement/Tiers)</t>
  </si>
  <si>
    <t>Établir et maintenir un inventaire des logiciels tiers</t>
  </si>
  <si>
    <t>Établir et maintenir un processus pour accepter et traiter les rapports sur les vulnérabilités des logiciels, y compris en fournissant un moyen pour les entités externes de faire des rapports. Le processus doit comprendre des éléments tels que : une politique de traitement des vulnérabilités qui identifie le processus de signalement, la partie responsable du traitement des signalements de vulnérabilités et un processus de réception, d'attribution, de remédiation et de test de remédiation. Dans le cadre de ce processus, il convient d'utiliser un système de suivi des vulnérabilités comprenant des niveaux de gravité et des mesures permettant d'évaluer le temps nécessaire à l'identification, à l'analyse et à la correction des vulnérabilités. Réviser et mettre à jour la documentation chaque année, ou lorsque des changements importants interviennent dans l'entreprise et pourraient avoir une incidence sur cette mesure de sauvegarde. 
Les développeurs d'applications tierces doivent considérer qu'il s'agit d'une politique orientée vers l'extérieur qui contribue à définir les attentes des parties prenantes externes.</t>
  </si>
  <si>
    <t>Garder une trace de tous les composants et bibliothèques externes utilisés dans les applications.</t>
  </si>
  <si>
    <t>GESTION DE LA RÉPONSE AUX INCIDENTS</t>
  </si>
  <si>
    <t>Gestion de la réponse aux incidents</t>
  </si>
  <si>
    <t>Désigner du personnel clé pour la réponse aux incidents</t>
  </si>
  <si>
    <t>Désigner une personne clé, et au moins un remplaçant, qui gérera le processus de traitement des incidents de l'entreprise. Le personnel de gestion est responsable de la coordination et de la documentation des efforts de réponse et de récupération en cas d'incident et peut-être composé d'employés internes à l'entreprise, de fournisseurs de services ou d'une approche hybride. Si l'entreprise fait appel à un prestataire de services, elle doit désigner au moins une personne interne à l'entreprise pour superviser le travail de la tierce partie. Réviser le plan de sauvegarde chaque année ou lorsque des changements importants interviennent dans l'entreprise et pourraient avoir une incidence sur ce plan de sauvegarde.</t>
  </si>
  <si>
    <t>Nommer les personnes chargées d'intervenir en priorité lorsqu'un incident de sécurité est détecté.</t>
  </si>
  <si>
    <t>Établir et maintenir les coordonnées pour la notification d'incidents</t>
  </si>
  <si>
    <t>Établir et tenir à jour les coordonnées des parties qui doivent être informées des incidents de sécurité. Les contacts peuvent être le personnel interne, les fournisseurs de services, les forces de l'ordre, les fournisseurs de cyberassurance, les agences gouvernementales concernées, les partenaires du centre de partage et d'analyse de l'information (ISAC) ou d'autres parties prenantes. Vérifier les contacts chaque année pour s'assurer que les informations sont à jour.</t>
  </si>
  <si>
    <t>Maintenir une liste de contacts à jour (internes et externes) pour communiquer rapidement en temps de crise.</t>
  </si>
  <si>
    <t>Établir et maintenir un processus de réponse aux incidents</t>
  </si>
  <si>
    <t>Établir et maintenir un processus d'entreprise documenté permettant au personnel de signaler les incidents de sécurité. Cette procédure prévoit un délai de signalement, le nom des personnes à qui s'adresser, le mécanisme de signalement et les informations minimales à communiquer. Veiller à ce que le processus soit accessible à l'ensemble du personnel. Réviser le processus chaque année ou lorsque des changements importants interviennent dans l'entreprise et pourraient avoir une incidence sur cette mesure de sauvegarde.</t>
  </si>
  <si>
    <t>Rédiger et tester un plan de réponse aux incidents pour savoir comment réagir de manière structurée face à une cyberattaque.</t>
  </si>
  <si>
    <t>TESTS D'INTRUSION</t>
  </si>
  <si>
    <t>Tests d'intrusion</t>
  </si>
  <si>
    <t>Établir et maintenir un programme de tests d'intrusion</t>
  </si>
  <si>
    <t>Établir et maintenir un programme de tests de pénétration adapté à la taille, à la complexité, au secteur d'activité et à la maturité de l'entreprise. Les caractéristiques du programme de tests d'intrusion comprennent le champ d'application (réseau, application web, interface de programmation d'application (API), services hébergés et contrôles des locaux physiques), la fréquence, les limites (heures acceptables et types d'attaques exclus), les informations sur le point de contact, les mesures correctives (comment les résultats seront acheminés en interne) et les exigences en matière de rétrospection.</t>
  </si>
  <si>
    <t>Définir une stratégie pour faire tester périodiquement les défenses de l'entreprise par des auditeurs.</t>
  </si>
  <si>
    <t>Systèmes (Périmètre d'audit)</t>
  </si>
  <si>
    <t>Effectuer des tests d'intrusion externes périodiques</t>
  </si>
  <si>
    <t>Effectuer des tests de pénétration externes périodiques en fonction des exigences du programme, au moins une fois par an. Les tests de pénétration externes doivent comprendre une reconnaissance de l'entreprise et de l'environnement afin de détecter les informations exploitables. Les tests de pénétration requièrent des compétences et une expérience spécialisées et doivent être effectués par une partie qualifiée. Les tests peuvent être effectués en boîte transparente ou en boîte opaque.</t>
  </si>
  <si>
    <t>Organiser des tests d'intrusion (pentests) depuis l'extérieur pour évaluer l'exposition sur internet.</t>
  </si>
  <si>
    <t>Remédier aux vulnérabilités identifiées lors des tests d'intrusion</t>
  </si>
  <si>
    <t>Remédier aux résultats des tests de pénétration sur la base du processus documenté de remédiation des vulnérabilités de l'entreprise. Il s'agit notamment de déterminer un calendrier et un niveau d'effort en fonction de l'impact et de l'ordre de priorité de chaque résultat identifié.</t>
  </si>
  <si>
    <t>Corriger rapidement les failles critiques qui ont été démontrées par les tests d'intrusion.</t>
  </si>
  <si>
    <t>SCORE CIS Controls</t>
  </si>
  <si>
    <t>COUNTA de ID Mesure</t>
  </si>
  <si>
    <t>A (Statut)</t>
  </si>
  <si>
    <t>B</t>
  </si>
  <si>
    <t>A (ID Contrôle)</t>
  </si>
  <si>
    <t>B (Score Moyen)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</si>
</sst>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7">
    <font>
      <sz val="10.0"/>
      <color rgb="FF000000"/>
      <name val="Arial"/>
      <scheme val="minor"/>
    </font>
    <font>
      <color theme="1"/>
      <name val="Arial"/>
      <scheme val="minor"/>
    </font>
    <font>
      <sz val="11.0"/>
      <color theme="1"/>
      <name val="Arial"/>
      <scheme val="minor"/>
    </font>
    <font>
      <sz val="14.0"/>
      <color rgb="FFFFFFFF"/>
      <name val="Arial"/>
      <scheme val="minor"/>
    </font>
    <font>
      <sz val="12.0"/>
      <color rgb="FFFFFFFF"/>
      <name val="Arial"/>
      <scheme val="minor"/>
    </font>
    <font>
      <sz val="12.0"/>
      <color theme="1"/>
      <name val="Arial"/>
      <scheme val="minor"/>
    </font>
    <font>
      <u/>
      <sz val="12.0"/>
      <color rgb="FF000000"/>
    </font>
    <font>
      <sz val="12.0"/>
      <color rgb="FF000000"/>
      <name val="Arial"/>
      <scheme val="minor"/>
    </font>
    <font/>
    <font>
      <u/>
      <sz val="12.0"/>
      <color rgb="FF000000"/>
    </font>
    <font>
      <u/>
      <sz val="12.0"/>
      <color rgb="FF000000"/>
    </font>
    <font>
      <u/>
      <sz val="12.0"/>
      <color rgb="FF000000"/>
    </font>
    <font>
      <u/>
      <sz val="12.0"/>
      <color rgb="FF000000"/>
    </font>
    <font>
      <u/>
      <sz val="12.0"/>
      <color rgb="FF000000"/>
    </font>
    <font>
      <u/>
      <sz val="12.0"/>
      <color rgb="FF000000"/>
    </font>
    <font>
      <u/>
      <sz val="12.0"/>
      <color rgb="FF000000"/>
    </font>
    <font>
      <u/>
      <sz val="12.0"/>
      <color rgb="FF000000"/>
    </font>
    <font>
      <u/>
      <sz val="12.0"/>
      <color rgb="FF000000"/>
    </font>
    <font>
      <b/>
      <sz val="12.0"/>
      <color rgb="FF000000"/>
      <name val="Arial"/>
      <scheme val="minor"/>
    </font>
    <font>
      <b/>
      <sz val="12.0"/>
      <color theme="1"/>
      <name val="Arial"/>
      <scheme val="minor"/>
    </font>
    <font>
      <sz val="13.0"/>
      <color rgb="FFFFFFFF"/>
      <name val="Arial"/>
      <scheme val="minor"/>
    </font>
    <font>
      <b/>
      <sz val="23.0"/>
      <color theme="1"/>
      <name val="Arial"/>
      <scheme val="minor"/>
    </font>
    <font>
      <sz val="16.0"/>
      <color theme="1"/>
      <name val="Arial"/>
      <scheme val="minor"/>
    </font>
    <font>
      <b/>
      <sz val="11.0"/>
      <color theme="1"/>
      <name val="Arial"/>
      <scheme val="minor"/>
    </font>
    <font>
      <b/>
      <sz val="10.0"/>
      <color theme="1"/>
      <name val="Arial"/>
      <scheme val="minor"/>
    </font>
    <font>
      <b/>
      <sz val="13.0"/>
      <color theme="1"/>
      <name val="Arial"/>
      <scheme val="minor"/>
    </font>
    <font>
      <b/>
      <sz val="14.0"/>
      <color theme="0"/>
      <name val="Arial"/>
      <scheme val="minor"/>
    </font>
    <font>
      <b/>
      <color rgb="FFFFFFFF"/>
      <name val="Arial"/>
      <scheme val="minor"/>
    </font>
    <font>
      <b/>
      <sz val="12.0"/>
      <color rgb="FFFFFFFF"/>
      <name val="Arial"/>
      <scheme val="minor"/>
    </font>
    <font>
      <b/>
      <sz val="14.0"/>
      <color theme="1"/>
      <name val="Arial"/>
      <scheme val="minor"/>
    </font>
    <font>
      <sz val="12.0"/>
      <color rgb="FF1F2328"/>
      <name val="Arial"/>
    </font>
    <font>
      <sz val="19.0"/>
      <color theme="1"/>
      <name val="Arial"/>
      <scheme val="minor"/>
    </font>
    <font>
      <b/>
      <color theme="1"/>
      <name val="Arial"/>
      <scheme val="minor"/>
    </font>
    <font>
      <color rgb="FFFFFFFF"/>
      <name val="Arial"/>
      <scheme val="minor"/>
    </font>
    <font>
      <sz val="12.0"/>
      <color rgb="FFFFFFFF"/>
      <name val="Arial"/>
    </font>
    <font>
      <sz val="12.0"/>
      <color theme="1"/>
      <name val="Arial"/>
    </font>
    <font>
      <color theme="1"/>
      <name val="Arial"/>
    </font>
    <font>
      <color theme="1"/>
      <name val="&quot;Google Sans Text&quot;"/>
    </font>
    <font>
      <color theme="1"/>
      <name val="Google Sans Text"/>
    </font>
    <font>
      <color rgb="FF1F1F1F"/>
      <name val="&quot;Google Sans Text&quot;"/>
    </font>
    <font>
      <b/>
      <color rgb="FF1F1F1F"/>
      <name val="&quot;Google Sans Text&quot;"/>
    </font>
    <font>
      <color rgb="FF1F1F1F"/>
      <name val="Google Sans Text"/>
    </font>
    <font>
      <strike/>
      <color theme="1"/>
      <name val="Arial"/>
      <scheme val="minor"/>
    </font>
    <font>
      <b/>
      <sz val="13.0"/>
      <color rgb="FF000000"/>
      <name val="Calibri"/>
    </font>
    <font>
      <sz val="11.0"/>
      <color rgb="FF000000"/>
      <name val="Calibri"/>
    </font>
    <font>
      <color rgb="FFF3F3F3"/>
      <name val="Arial"/>
    </font>
    <font>
      <color rgb="FFF3F3F3"/>
      <name val="Arial"/>
      <scheme val="minor"/>
    </font>
  </fonts>
  <fills count="58">
    <fill>
      <patternFill patternType="none"/>
    </fill>
    <fill>
      <patternFill patternType="lightGray"/>
    </fill>
    <fill>
      <patternFill patternType="solid">
        <fgColor rgb="FF6AA84F"/>
        <bgColor rgb="FF6AA84F"/>
      </patternFill>
    </fill>
    <fill>
      <patternFill patternType="solid">
        <fgColor rgb="FFE61C25"/>
        <bgColor rgb="FFE61C25"/>
      </patternFill>
    </fill>
    <fill>
      <patternFill patternType="solid">
        <fgColor rgb="FFFC7400"/>
        <bgColor rgb="FFFC7400"/>
      </patternFill>
    </fill>
    <fill>
      <patternFill patternType="solid">
        <fgColor rgb="FFEEF009"/>
        <bgColor rgb="FFEEF009"/>
      </patternFill>
    </fill>
    <fill>
      <patternFill patternType="solid">
        <fgColor rgb="FF98EE0E"/>
        <bgColor rgb="FF98EE0E"/>
      </patternFill>
    </fill>
    <fill>
      <patternFill patternType="solid">
        <fgColor rgb="FF11AC0C"/>
        <bgColor rgb="FF11AC0C"/>
      </patternFill>
    </fill>
    <fill>
      <patternFill patternType="solid">
        <fgColor rgb="FFE6E6E6"/>
        <bgColor rgb="FFE6E6E6"/>
      </patternFill>
    </fill>
    <fill>
      <patternFill patternType="solid">
        <fgColor rgb="FF000000"/>
        <bgColor rgb="FF000000"/>
      </patternFill>
    </fill>
    <fill>
      <patternFill patternType="solid">
        <fgColor rgb="FF0088BE"/>
        <bgColor rgb="FF0088BE"/>
      </patternFill>
    </fill>
    <fill>
      <patternFill patternType="solid">
        <fgColor rgb="FFDEEDF7"/>
        <bgColor rgb="FFDEEDF7"/>
      </patternFill>
    </fill>
    <fill>
      <patternFill patternType="solid">
        <fgColor rgb="FF01B4A9"/>
        <bgColor rgb="FF01B4A9"/>
      </patternFill>
    </fill>
    <fill>
      <patternFill patternType="solid">
        <fgColor rgb="FFE7F5F4"/>
        <bgColor rgb="FFE7F5F4"/>
      </patternFill>
    </fill>
    <fill>
      <patternFill patternType="solid">
        <fgColor rgb="FFE0C721"/>
        <bgColor rgb="FFE0C721"/>
      </patternFill>
    </fill>
    <fill>
      <patternFill patternType="solid">
        <fgColor rgb="FFFAF8E6"/>
        <bgColor rgb="FFFAF8E6"/>
      </patternFill>
    </fill>
    <fill>
      <patternFill patternType="solid">
        <fgColor rgb="FFDD8393"/>
        <bgColor rgb="FFDD8393"/>
      </patternFill>
    </fill>
    <fill>
      <patternFill patternType="solid">
        <fgColor rgb="FFFBF1F1"/>
        <bgColor rgb="FFFBF1F1"/>
      </patternFill>
    </fill>
    <fill>
      <patternFill patternType="solid">
        <fgColor rgb="FFEE4A5A"/>
        <bgColor rgb="FFEE4A5A"/>
      </patternFill>
    </fill>
    <fill>
      <patternFill patternType="solid">
        <fgColor rgb="FFFDEAE7"/>
        <bgColor rgb="FFFDEAE7"/>
      </patternFill>
    </fill>
    <fill>
      <patternFill patternType="solid">
        <fgColor rgb="FFA73B65"/>
        <bgColor rgb="FFA73B65"/>
      </patternFill>
    </fill>
    <fill>
      <patternFill patternType="solid">
        <fgColor rgb="FFF4E5E8"/>
        <bgColor rgb="FFF4E5E8"/>
      </patternFill>
    </fill>
    <fill>
      <patternFill patternType="solid">
        <fgColor rgb="FF732472"/>
        <bgColor rgb="FF732472"/>
      </patternFill>
    </fill>
    <fill>
      <patternFill patternType="solid">
        <fgColor rgb="FFE8E0E9"/>
        <bgColor rgb="FFE8E0E9"/>
      </patternFill>
    </fill>
    <fill>
      <patternFill patternType="solid">
        <fgColor rgb="FF037395"/>
        <bgColor rgb="FF037395"/>
      </patternFill>
    </fill>
    <fill>
      <patternFill patternType="solid">
        <fgColor rgb="FFE2E8F0"/>
        <bgColor rgb="FFE2E8F0"/>
      </patternFill>
    </fill>
    <fill>
      <patternFill patternType="solid">
        <fgColor rgb="FF6979AE"/>
        <bgColor rgb="FF6979AE"/>
      </patternFill>
    </fill>
    <fill>
      <patternFill patternType="solid">
        <fgColor rgb="FFEAEBF4"/>
        <bgColor rgb="FFEAEBF4"/>
      </patternFill>
    </fill>
    <fill>
      <patternFill patternType="solid">
        <fgColor rgb="FF5BB6CF"/>
        <bgColor rgb="FF5BB6CF"/>
      </patternFill>
    </fill>
    <fill>
      <patternFill patternType="solid">
        <fgColor rgb="FFECF6F9"/>
        <bgColor rgb="FFECF6F9"/>
      </patternFill>
    </fill>
    <fill>
      <patternFill patternType="solid">
        <fgColor rgb="FFFFFFFF"/>
        <bgColor rgb="FFFFFFFF"/>
      </patternFill>
    </fill>
    <fill>
      <patternFill patternType="solid">
        <fgColor rgb="FFCCCCCC"/>
        <bgColor rgb="FFCCCCCC"/>
      </patternFill>
    </fill>
    <fill>
      <patternFill patternType="solid">
        <fgColor rgb="FFFDEFE3"/>
        <bgColor rgb="FFFDEFE3"/>
      </patternFill>
    </fill>
    <fill>
      <patternFill patternType="solid">
        <fgColor theme="0"/>
        <bgColor theme="0"/>
      </patternFill>
    </fill>
    <fill>
      <patternFill patternType="solid">
        <fgColor rgb="FF4FA6D5"/>
        <bgColor rgb="FF4FA6D5"/>
      </patternFill>
    </fill>
    <fill>
      <patternFill patternType="solid">
        <fgColor rgb="FFF6F8F9"/>
        <bgColor rgb="FFF6F8F9"/>
      </patternFill>
    </fill>
    <fill>
      <patternFill patternType="solid">
        <fgColor rgb="FFB7E1CD"/>
        <bgColor rgb="FFB7E1CD"/>
      </patternFill>
    </fill>
    <fill>
      <patternFill patternType="solid">
        <fgColor rgb="FFEA9999"/>
        <bgColor rgb="FFEA9999"/>
      </patternFill>
    </fill>
    <fill>
      <patternFill patternType="solid">
        <fgColor rgb="FF93C47D"/>
        <bgColor rgb="FF93C47D"/>
      </patternFill>
    </fill>
    <fill>
      <patternFill patternType="solid">
        <fgColor rgb="FFDABED0"/>
        <bgColor rgb="FFDABED0"/>
      </patternFill>
    </fill>
    <fill>
      <patternFill patternType="solid">
        <fgColor rgb="FFEFEFEF"/>
        <bgColor rgb="FFEFEFEF"/>
      </patternFill>
    </fill>
    <fill>
      <patternFill patternType="solid">
        <fgColor rgb="FFE5E5E5"/>
        <bgColor rgb="FFE5E5E5"/>
      </patternFill>
    </fill>
    <fill>
      <patternFill patternType="solid">
        <fgColor rgb="FF666666"/>
        <bgColor rgb="FF666666"/>
      </patternFill>
    </fill>
    <fill>
      <patternFill patternType="solid">
        <fgColor rgb="FFD6EEF5"/>
        <bgColor rgb="FFD6EEF5"/>
      </patternFill>
    </fill>
    <fill>
      <patternFill patternType="solid">
        <fgColor rgb="FFDCFFEE"/>
        <bgColor rgb="FFDCFFEE"/>
      </patternFill>
    </fill>
    <fill>
      <patternFill patternType="solid">
        <fgColor rgb="FFC043B2"/>
        <bgColor rgb="FFC043B2"/>
      </patternFill>
    </fill>
    <fill>
      <patternFill patternType="solid">
        <fgColor rgb="FFFFD7FB"/>
        <bgColor rgb="FFFFD7FB"/>
      </patternFill>
    </fill>
    <fill>
      <patternFill patternType="solid">
        <fgColor rgb="FF393939"/>
        <bgColor rgb="FF393939"/>
      </patternFill>
    </fill>
    <fill>
      <patternFill patternType="solid">
        <fgColor rgb="FFCFCFCF"/>
        <bgColor rgb="FFCFCFCF"/>
      </patternFill>
    </fill>
    <fill>
      <patternFill patternType="solid">
        <fgColor rgb="FF7BEC4B"/>
        <bgColor rgb="FF7BEC4B"/>
      </patternFill>
    </fill>
    <fill>
      <patternFill patternType="solid">
        <fgColor rgb="FFDBECD3"/>
        <bgColor rgb="FFDBECD3"/>
      </patternFill>
    </fill>
    <fill>
      <patternFill patternType="solid">
        <fgColor rgb="FFC4ECC3"/>
        <bgColor rgb="FFC4ECC3"/>
      </patternFill>
    </fill>
    <fill>
      <patternFill patternType="solid">
        <fgColor rgb="FF57BB8A"/>
        <bgColor rgb="FF57BB8A"/>
      </patternFill>
    </fill>
    <fill>
      <patternFill patternType="solid">
        <fgColor rgb="FFC5E0D3"/>
        <bgColor rgb="FFC5E0D3"/>
      </patternFill>
    </fill>
    <fill>
      <patternFill patternType="solid">
        <fgColor rgb="FFE61B26"/>
        <bgColor rgb="FFE61B26"/>
      </patternFill>
    </fill>
    <fill>
      <patternFill patternType="solid">
        <fgColor rgb="FFE7CFD1"/>
        <bgColor rgb="FFE7CFD1"/>
      </patternFill>
    </fill>
    <fill>
      <patternFill patternType="solid">
        <fgColor rgb="FF4A7DF0"/>
        <bgColor rgb="FF4A7DF0"/>
      </patternFill>
    </fill>
    <fill>
      <patternFill patternType="solid">
        <fgColor rgb="FFD3DCF0"/>
        <bgColor rgb="FFD3DCF0"/>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1"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3" fontId="1" numFmtId="0" xfId="0" applyAlignment="1" applyBorder="1" applyFill="1" applyFont="1">
      <alignment vertical="center"/>
    </xf>
    <xf borderId="0" fillId="0" fontId="1" numFmtId="0" xfId="0" applyAlignment="1" applyFont="1">
      <alignment vertical="center"/>
    </xf>
    <xf borderId="1" fillId="0" fontId="1" numFmtId="0" xfId="0" applyAlignment="1" applyBorder="1" applyFont="1">
      <alignment horizontal="center" readingOrder="0" shrinkToFit="0" vertical="center" wrapText="1"/>
    </xf>
    <xf borderId="1" fillId="4" fontId="1" numFmtId="0" xfId="0" applyAlignment="1" applyBorder="1" applyFill="1" applyFont="1">
      <alignment vertical="center"/>
    </xf>
    <xf borderId="1" fillId="5" fontId="1" numFmtId="0" xfId="0" applyAlignment="1" applyBorder="1" applyFill="1" applyFont="1">
      <alignment vertical="center"/>
    </xf>
    <xf borderId="1" fillId="6" fontId="1" numFmtId="0" xfId="0" applyAlignment="1" applyBorder="1" applyFill="1" applyFont="1">
      <alignment vertical="center"/>
    </xf>
    <xf borderId="1" fillId="7" fontId="1" numFmtId="0" xfId="0" applyAlignment="1" applyBorder="1" applyFill="1" applyFont="1">
      <alignment vertical="center"/>
    </xf>
    <xf borderId="1" fillId="8" fontId="1" numFmtId="0" xfId="0" applyAlignment="1" applyBorder="1" applyFill="1" applyFont="1">
      <alignment vertical="center"/>
    </xf>
    <xf borderId="0" fillId="0" fontId="1" numFmtId="0" xfId="0" applyAlignment="1" applyFont="1">
      <alignment horizontal="center"/>
    </xf>
    <xf borderId="0" fillId="0" fontId="1" numFmtId="0" xfId="0" applyAlignment="1" applyFont="1">
      <alignment readingOrder="0" shrinkToFit="0" wrapText="1"/>
    </xf>
    <xf borderId="1" fillId="9" fontId="3" numFmtId="0" xfId="0" applyAlignment="1" applyBorder="1" applyFill="1" applyFont="1">
      <alignment horizontal="center" readingOrder="0" shrinkToFit="0" vertical="center" wrapText="1"/>
    </xf>
    <xf borderId="0" fillId="0" fontId="1" numFmtId="0" xfId="0" applyAlignment="1" applyFont="1">
      <alignment readingOrder="0"/>
    </xf>
    <xf borderId="2" fillId="10" fontId="4"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11" fontId="5" numFmtId="0" xfId="0" applyAlignment="1" applyBorder="1" applyFill="1" applyFont="1">
      <alignment readingOrder="0" shrinkToFit="0" vertical="center" wrapText="1"/>
    </xf>
    <xf borderId="1" fillId="11" fontId="5" numFmtId="0" xfId="0" applyAlignment="1" applyBorder="1" applyFont="1">
      <alignment horizontal="left" readingOrder="0" shrinkToFit="0" vertical="center" wrapText="1"/>
    </xf>
    <xf borderId="1" fillId="11" fontId="6" numFmtId="0" xfId="0" applyAlignment="1" applyBorder="1" applyFont="1">
      <alignment horizontal="center" readingOrder="0" shrinkToFit="0" vertical="center" wrapText="1"/>
    </xf>
    <xf borderId="1" fillId="11" fontId="7" numFmtId="0" xfId="0" applyAlignment="1" applyBorder="1" applyFont="1">
      <alignment horizontal="center" readingOrder="0" shrinkToFit="0" vertical="center" wrapText="1"/>
    </xf>
    <xf borderId="1" fillId="11" fontId="7"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1"/>
    </xf>
    <xf borderId="0" fillId="0" fontId="1" numFmtId="0" xfId="0" applyFont="1"/>
    <xf borderId="3" fillId="0" fontId="8" numFmtId="0" xfId="0" applyBorder="1" applyFont="1"/>
    <xf borderId="4" fillId="0" fontId="8" numFmtId="0" xfId="0" applyBorder="1" applyFont="1"/>
    <xf borderId="2" fillId="12" fontId="4" numFmtId="0" xfId="0" applyAlignment="1" applyBorder="1" applyFill="1" applyFont="1">
      <alignment horizontal="center" readingOrder="0" shrinkToFit="0" vertical="center" wrapText="1"/>
    </xf>
    <xf borderId="1" fillId="13" fontId="5" numFmtId="0" xfId="0" applyAlignment="1" applyBorder="1" applyFill="1" applyFont="1">
      <alignment readingOrder="0" shrinkToFit="0" vertical="center" wrapText="1"/>
    </xf>
    <xf borderId="1" fillId="13" fontId="5" numFmtId="0" xfId="0" applyAlignment="1" applyBorder="1" applyFont="1">
      <alignment horizontal="left" readingOrder="0" shrinkToFit="0" vertical="center" wrapText="1"/>
    </xf>
    <xf borderId="1" fillId="13" fontId="9" numFmtId="0" xfId="0" applyAlignment="1" applyBorder="1" applyFont="1">
      <alignment horizontal="center" readingOrder="0" shrinkToFit="0" vertical="center" wrapText="1"/>
    </xf>
    <xf borderId="1" fillId="13" fontId="7" numFmtId="0" xfId="0" applyAlignment="1" applyBorder="1" applyFont="1">
      <alignment horizontal="center" readingOrder="0" shrinkToFit="0" vertical="center" wrapText="1"/>
    </xf>
    <xf borderId="1" fillId="13" fontId="7" numFmtId="0" xfId="0" applyAlignment="1" applyBorder="1" applyFont="1">
      <alignment horizontal="left" readingOrder="0" shrinkToFit="0" vertical="center" wrapText="1"/>
    </xf>
    <xf borderId="1" fillId="13" fontId="7" numFmtId="0" xfId="0" applyAlignment="1" applyBorder="1" applyFont="1">
      <alignment horizontal="center" readingOrder="0" shrinkToFit="0" vertical="center" wrapText="1"/>
    </xf>
    <xf borderId="1" fillId="13" fontId="7" numFmtId="0" xfId="0" applyAlignment="1" applyBorder="1" applyFont="1">
      <alignment horizontal="left" readingOrder="0" shrinkToFit="0" vertical="center" wrapText="1"/>
    </xf>
    <xf borderId="2" fillId="14" fontId="4" numFmtId="0" xfId="0" applyAlignment="1" applyBorder="1" applyFill="1" applyFont="1">
      <alignment horizontal="center" readingOrder="0" shrinkToFit="0" vertical="center" wrapText="1"/>
    </xf>
    <xf borderId="1" fillId="15" fontId="5" numFmtId="0" xfId="0" applyAlignment="1" applyBorder="1" applyFill="1" applyFont="1">
      <alignment readingOrder="0" shrinkToFit="0" vertical="center" wrapText="1"/>
    </xf>
    <xf borderId="1" fillId="15" fontId="5" numFmtId="0" xfId="0" applyAlignment="1" applyBorder="1" applyFont="1">
      <alignment horizontal="left" readingOrder="0" shrinkToFit="0" vertical="center" wrapText="1"/>
    </xf>
    <xf borderId="1" fillId="15" fontId="10" numFmtId="0" xfId="0" applyAlignment="1" applyBorder="1" applyFont="1">
      <alignment horizontal="center" readingOrder="0" shrinkToFit="0" vertical="center" wrapText="1"/>
    </xf>
    <xf borderId="1" fillId="15" fontId="7" numFmtId="0" xfId="0" applyAlignment="1" applyBorder="1" applyFont="1">
      <alignment horizontal="center" readingOrder="0" shrinkToFit="0" vertical="center" wrapText="1"/>
    </xf>
    <xf borderId="1" fillId="15" fontId="7" numFmtId="0" xfId="0" applyAlignment="1" applyBorder="1" applyFont="1">
      <alignment horizontal="left" readingOrder="0" shrinkToFit="0" vertical="center" wrapText="1"/>
    </xf>
    <xf borderId="2" fillId="16" fontId="4" numFmtId="0" xfId="0" applyAlignment="1" applyBorder="1" applyFill="1" applyFont="1">
      <alignment horizontal="center" readingOrder="0" shrinkToFit="0" vertical="center" wrapText="1"/>
    </xf>
    <xf borderId="1" fillId="17" fontId="5" numFmtId="0" xfId="0" applyAlignment="1" applyBorder="1" applyFill="1" applyFont="1">
      <alignment readingOrder="0" shrinkToFit="0" vertical="center" wrapText="1"/>
    </xf>
    <xf borderId="1" fillId="17" fontId="5" numFmtId="0" xfId="0" applyAlignment="1" applyBorder="1" applyFont="1">
      <alignment horizontal="left" readingOrder="0" shrinkToFit="0" vertical="center" wrapText="1"/>
    </xf>
    <xf borderId="1" fillId="17" fontId="11" numFmtId="0" xfId="0" applyAlignment="1" applyBorder="1" applyFont="1">
      <alignment horizontal="center" readingOrder="0" shrinkToFit="0" vertical="center" wrapText="1"/>
    </xf>
    <xf borderId="1" fillId="17" fontId="7" numFmtId="0" xfId="0" applyAlignment="1" applyBorder="1" applyFont="1">
      <alignment horizontal="center" readingOrder="0" shrinkToFit="0" vertical="center" wrapText="1"/>
    </xf>
    <xf borderId="1" fillId="17" fontId="7" numFmtId="0" xfId="0" applyAlignment="1" applyBorder="1" applyFont="1">
      <alignment horizontal="left" readingOrder="0" shrinkToFit="0" vertical="center" wrapText="1"/>
    </xf>
    <xf borderId="2" fillId="18" fontId="4" numFmtId="0" xfId="0" applyAlignment="1" applyBorder="1" applyFill="1" applyFont="1">
      <alignment horizontal="center" readingOrder="0" shrinkToFit="0" vertical="center" wrapText="1"/>
    </xf>
    <xf borderId="1" fillId="19" fontId="5" numFmtId="0" xfId="0" applyAlignment="1" applyBorder="1" applyFill="1" applyFont="1">
      <alignment readingOrder="0" shrinkToFit="0" vertical="center" wrapText="1"/>
    </xf>
    <xf borderId="1" fillId="19" fontId="5" numFmtId="0" xfId="0" applyAlignment="1" applyBorder="1" applyFont="1">
      <alignment horizontal="left" readingOrder="0" shrinkToFit="0" vertical="center" wrapText="1"/>
    </xf>
    <xf borderId="1" fillId="19" fontId="12" numFmtId="0" xfId="0" applyAlignment="1" applyBorder="1" applyFont="1">
      <alignment horizontal="center" readingOrder="0" shrinkToFit="0" vertical="center" wrapText="1"/>
    </xf>
    <xf borderId="1" fillId="19" fontId="7" numFmtId="0" xfId="0" applyAlignment="1" applyBorder="1" applyFont="1">
      <alignment horizontal="center" readingOrder="0" shrinkToFit="0" vertical="center" wrapText="1"/>
    </xf>
    <xf borderId="1" fillId="19" fontId="7" numFmtId="0" xfId="0" applyAlignment="1" applyBorder="1" applyFont="1">
      <alignment horizontal="left" readingOrder="0" shrinkToFit="0" vertical="center" wrapText="1"/>
    </xf>
    <xf borderId="2" fillId="20" fontId="4" numFmtId="0" xfId="0" applyAlignment="1" applyBorder="1" applyFill="1" applyFont="1">
      <alignment horizontal="center" readingOrder="0" shrinkToFit="0" vertical="center" wrapText="1"/>
    </xf>
    <xf borderId="1" fillId="21" fontId="5" numFmtId="0" xfId="0" applyAlignment="1" applyBorder="1" applyFill="1" applyFont="1">
      <alignment readingOrder="0" shrinkToFit="0" vertical="center" wrapText="1"/>
    </xf>
    <xf borderId="1" fillId="21" fontId="5" numFmtId="0" xfId="0" applyAlignment="1" applyBorder="1" applyFont="1">
      <alignment horizontal="left" readingOrder="0" shrinkToFit="0" vertical="center" wrapText="1"/>
    </xf>
    <xf borderId="1" fillId="21" fontId="13" numFmtId="0" xfId="0" applyAlignment="1" applyBorder="1" applyFont="1">
      <alignment horizontal="center" readingOrder="0" shrinkToFit="0" vertical="center" wrapText="1"/>
    </xf>
    <xf borderId="1" fillId="21" fontId="7" numFmtId="0" xfId="0" applyAlignment="1" applyBorder="1" applyFont="1">
      <alignment horizontal="center" readingOrder="0" shrinkToFit="0" vertical="center" wrapText="1"/>
    </xf>
    <xf borderId="1" fillId="21" fontId="7" numFmtId="0" xfId="0" applyAlignment="1" applyBorder="1" applyFont="1">
      <alignment horizontal="left" readingOrder="0" shrinkToFit="0" vertical="center" wrapText="1"/>
    </xf>
    <xf borderId="2" fillId="22" fontId="4" numFmtId="0" xfId="0" applyAlignment="1" applyBorder="1" applyFill="1" applyFont="1">
      <alignment horizontal="center" readingOrder="0" shrinkToFit="0" vertical="center" wrapText="1"/>
    </xf>
    <xf borderId="1" fillId="23" fontId="5" numFmtId="0" xfId="0" applyAlignment="1" applyBorder="1" applyFill="1" applyFont="1">
      <alignment readingOrder="0" shrinkToFit="0" vertical="center" wrapText="1"/>
    </xf>
    <xf borderId="1" fillId="23" fontId="5" numFmtId="0" xfId="0" applyAlignment="1" applyBorder="1" applyFont="1">
      <alignment horizontal="left" readingOrder="0" shrinkToFit="0" vertical="center" wrapText="1"/>
    </xf>
    <xf borderId="1" fillId="23" fontId="14" numFmtId="0" xfId="0" applyAlignment="1" applyBorder="1" applyFont="1">
      <alignment horizontal="center" readingOrder="0" shrinkToFit="0" vertical="center" wrapText="1"/>
    </xf>
    <xf borderId="1" fillId="23" fontId="7" numFmtId="0" xfId="0" applyAlignment="1" applyBorder="1" applyFont="1">
      <alignment horizontal="center" readingOrder="0" shrinkToFit="0" vertical="center" wrapText="1"/>
    </xf>
    <xf borderId="1" fillId="23" fontId="7" numFmtId="0" xfId="0" applyAlignment="1" applyBorder="1" applyFont="1">
      <alignment horizontal="left" readingOrder="0" shrinkToFit="0" vertical="center" wrapText="1"/>
    </xf>
    <xf borderId="2" fillId="24" fontId="4" numFmtId="0" xfId="0" applyAlignment="1" applyBorder="1" applyFill="1" applyFont="1">
      <alignment horizontal="center" readingOrder="0" shrinkToFit="0" vertical="center" wrapText="1"/>
    </xf>
    <xf borderId="1" fillId="25" fontId="5" numFmtId="0" xfId="0" applyAlignment="1" applyBorder="1" applyFill="1" applyFont="1">
      <alignment readingOrder="0" shrinkToFit="0" vertical="center" wrapText="1"/>
    </xf>
    <xf borderId="1" fillId="25" fontId="5" numFmtId="0" xfId="0" applyAlignment="1" applyBorder="1" applyFont="1">
      <alignment horizontal="left" readingOrder="0" shrinkToFit="0" vertical="center" wrapText="1"/>
    </xf>
    <xf borderId="1" fillId="25" fontId="15" numFmtId="0" xfId="0" applyAlignment="1" applyBorder="1" applyFont="1">
      <alignment horizontal="center" readingOrder="0" shrinkToFit="0" vertical="center" wrapText="1"/>
    </xf>
    <xf borderId="1" fillId="25" fontId="7" numFmtId="0" xfId="0" applyAlignment="1" applyBorder="1" applyFont="1">
      <alignment horizontal="center" readingOrder="0" shrinkToFit="0" vertical="center" wrapText="1"/>
    </xf>
    <xf borderId="1" fillId="25" fontId="7" numFmtId="0" xfId="0" applyAlignment="1" applyBorder="1" applyFont="1">
      <alignment horizontal="left" readingOrder="0" shrinkToFit="0" vertical="center" wrapText="1"/>
    </xf>
    <xf borderId="2" fillId="26" fontId="4" numFmtId="0" xfId="0" applyAlignment="1" applyBorder="1" applyFill="1" applyFont="1">
      <alignment horizontal="center" readingOrder="0" shrinkToFit="0" vertical="center" wrapText="1"/>
    </xf>
    <xf borderId="1" fillId="27" fontId="5" numFmtId="0" xfId="0" applyAlignment="1" applyBorder="1" applyFill="1" applyFont="1">
      <alignment readingOrder="0" shrinkToFit="0" vertical="center" wrapText="1"/>
    </xf>
    <xf borderId="1" fillId="27" fontId="5" numFmtId="0" xfId="0" applyAlignment="1" applyBorder="1" applyFont="1">
      <alignment horizontal="left" readingOrder="0" shrinkToFit="0" vertical="center" wrapText="1"/>
    </xf>
    <xf borderId="1" fillId="27" fontId="16" numFmtId="0" xfId="0" applyAlignment="1" applyBorder="1" applyFont="1">
      <alignment horizontal="center" readingOrder="0" shrinkToFit="0" vertical="center" wrapText="1"/>
    </xf>
    <xf borderId="1" fillId="27" fontId="7" numFmtId="0" xfId="0" applyAlignment="1" applyBorder="1" applyFont="1">
      <alignment horizontal="center" readingOrder="0" shrinkToFit="0" vertical="center" wrapText="1"/>
    </xf>
    <xf borderId="1" fillId="27" fontId="7" numFmtId="0" xfId="0" applyAlignment="1" applyBorder="1" applyFont="1">
      <alignment horizontal="left" readingOrder="0" shrinkToFit="0" vertical="center" wrapText="1"/>
    </xf>
    <xf borderId="2" fillId="28" fontId="4" numFmtId="0" xfId="0" applyAlignment="1" applyBorder="1" applyFill="1" applyFont="1">
      <alignment horizontal="center" readingOrder="0" shrinkToFit="0" vertical="center" wrapText="1"/>
    </xf>
    <xf borderId="1" fillId="29" fontId="5" numFmtId="0" xfId="0" applyAlignment="1" applyBorder="1" applyFill="1" applyFont="1">
      <alignment readingOrder="0" shrinkToFit="0" vertical="center" wrapText="1"/>
    </xf>
    <xf borderId="1" fillId="29" fontId="5" numFmtId="0" xfId="0" applyAlignment="1" applyBorder="1" applyFont="1">
      <alignment horizontal="left" readingOrder="0" shrinkToFit="0" vertical="center" wrapText="1"/>
    </xf>
    <xf borderId="1" fillId="29" fontId="17" numFmtId="0" xfId="0" applyAlignment="1" applyBorder="1" applyFont="1">
      <alignment horizontal="center" readingOrder="0" shrinkToFit="0" vertical="center" wrapText="1"/>
    </xf>
    <xf borderId="1" fillId="29" fontId="7" numFmtId="0" xfId="0" applyAlignment="1" applyBorder="1" applyFont="1">
      <alignment horizontal="center" readingOrder="0" shrinkToFit="0" vertical="center" wrapText="1"/>
    </xf>
    <xf borderId="1" fillId="29" fontId="7" numFmtId="0" xfId="0" applyAlignment="1" applyBorder="1" applyFont="1">
      <alignment horizontal="left" readingOrder="0" shrinkToFit="0" vertical="center" wrapText="1"/>
    </xf>
    <xf borderId="0" fillId="28" fontId="18" numFmtId="0" xfId="0" applyAlignment="1" applyFont="1">
      <alignment horizontal="center" readingOrder="0" vertical="center"/>
    </xf>
    <xf borderId="0" fillId="28" fontId="19" numFmtId="0" xfId="0" applyAlignment="1" applyFont="1">
      <alignment horizontal="center"/>
    </xf>
    <xf borderId="0" fillId="28" fontId="19" numFmtId="0" xfId="0" applyAlignment="1" applyFont="1">
      <alignment horizontal="center" vertical="center"/>
    </xf>
    <xf borderId="0" fillId="30" fontId="1" numFmtId="0" xfId="0" applyFill="1" applyFont="1"/>
    <xf borderId="0" fillId="0" fontId="5" numFmtId="0" xfId="0" applyAlignment="1" applyFont="1">
      <alignment horizontal="center"/>
    </xf>
    <xf borderId="1" fillId="9" fontId="4" numFmtId="0" xfId="0" applyAlignment="1" applyBorder="1" applyFont="1">
      <alignment horizontal="center" readingOrder="0" shrinkToFit="0" vertical="center" wrapText="1"/>
    </xf>
    <xf borderId="0" fillId="0" fontId="5" numFmtId="0" xfId="0" applyAlignment="1" applyFont="1">
      <alignment horizontal="center" vertical="center"/>
    </xf>
    <xf borderId="1" fillId="13" fontId="5" numFmtId="0" xfId="0" applyAlignment="1" applyBorder="1" applyFont="1">
      <alignment horizontal="center" readingOrder="0" shrinkToFit="0" vertical="center" wrapText="1"/>
    </xf>
    <xf borderId="1" fillId="13" fontId="5" numFmtId="0" xfId="0" applyAlignment="1" applyBorder="1" applyFont="1">
      <alignment horizontal="left" shrinkToFit="0" vertical="center" wrapText="1"/>
    </xf>
    <xf borderId="1" fillId="13" fontId="5" numFmtId="0" xfId="0" applyAlignment="1" applyBorder="1" applyFont="1">
      <alignment horizontal="center" shrinkToFit="0" vertical="center" wrapText="1"/>
    </xf>
    <xf borderId="0" fillId="13" fontId="5" numFmtId="0" xfId="0" applyAlignment="1" applyFont="1">
      <alignment horizontal="center" vertical="center"/>
    </xf>
    <xf borderId="1" fillId="17" fontId="5" numFmtId="0" xfId="0" applyAlignment="1" applyBorder="1" applyFont="1">
      <alignment horizontal="center" readingOrder="0" shrinkToFit="0" vertical="center" wrapText="1"/>
    </xf>
    <xf borderId="1" fillId="17" fontId="5" numFmtId="0" xfId="0" applyAlignment="1" applyBorder="1" applyFont="1">
      <alignment horizontal="left" readingOrder="0" vertical="center"/>
    </xf>
    <xf borderId="0" fillId="13" fontId="5" numFmtId="0" xfId="0" applyFont="1"/>
    <xf borderId="0" fillId="0" fontId="5" numFmtId="0" xfId="0" applyFont="1"/>
    <xf borderId="1" fillId="19" fontId="5" numFmtId="0" xfId="0" applyAlignment="1" applyBorder="1" applyFont="1">
      <alignment horizontal="center" readingOrder="0" shrinkToFit="0" vertical="center" wrapText="1"/>
    </xf>
    <xf borderId="1" fillId="21" fontId="5" numFmtId="0" xfId="0" applyAlignment="1" applyBorder="1" applyFont="1">
      <alignment horizontal="center" readingOrder="0" shrinkToFit="0" vertical="center" wrapText="1"/>
    </xf>
    <xf borderId="1" fillId="22" fontId="4" numFmtId="0" xfId="0" applyAlignment="1" applyBorder="1" applyFont="1">
      <alignment horizontal="center" readingOrder="0" shrinkToFit="0" vertical="center" wrapText="1"/>
    </xf>
    <xf borderId="1" fillId="23" fontId="5" numFmtId="0" xfId="0" applyAlignment="1" applyBorder="1" applyFont="1">
      <alignment horizontal="center" readingOrder="0" shrinkToFit="0" vertical="center" wrapText="1"/>
    </xf>
    <xf borderId="2" fillId="24" fontId="20" numFmtId="0" xfId="0" applyAlignment="1" applyBorder="1" applyFont="1">
      <alignment horizontal="center" readingOrder="0" vertical="center"/>
    </xf>
    <xf borderId="1" fillId="0" fontId="5" numFmtId="0" xfId="0" applyAlignment="1" applyBorder="1" applyFont="1">
      <alignment horizontal="center" readingOrder="0" vertical="center"/>
    </xf>
    <xf borderId="1" fillId="25" fontId="5" numFmtId="0" xfId="0" applyAlignment="1" applyBorder="1" applyFont="1">
      <alignment horizontal="left" readingOrder="0" vertical="center"/>
    </xf>
    <xf borderId="1" fillId="25" fontId="5" numFmtId="0" xfId="0" applyAlignment="1" applyBorder="1" applyFont="1">
      <alignment horizontal="center" readingOrder="0" vertical="center"/>
    </xf>
    <xf borderId="1" fillId="25" fontId="5" numFmtId="0" xfId="0" applyAlignment="1" applyBorder="1" applyFont="1">
      <alignment horizontal="center" readingOrder="0" shrinkToFit="0" vertical="center" wrapText="1"/>
    </xf>
    <xf borderId="1" fillId="25" fontId="5" numFmtId="0" xfId="0" applyAlignment="1" applyBorder="1" applyFont="1">
      <alignment horizontal="left" shrinkToFit="0" vertical="center" wrapText="1"/>
    </xf>
    <xf borderId="1" fillId="25" fontId="5" numFmtId="0" xfId="0" applyAlignment="1" applyBorder="1" applyFont="1">
      <alignment horizontal="center" vertical="center"/>
    </xf>
    <xf borderId="2" fillId="0" fontId="5" numFmtId="0" xfId="0" applyAlignment="1" applyBorder="1" applyFont="1">
      <alignment horizontal="center" readingOrder="0" vertical="center"/>
    </xf>
    <xf borderId="2" fillId="25" fontId="5" numFmtId="0" xfId="0" applyAlignment="1" applyBorder="1" applyFont="1">
      <alignment horizontal="left" readingOrder="0" vertical="center"/>
    </xf>
    <xf borderId="2" fillId="25" fontId="5" numFmtId="0" xfId="0" applyAlignment="1" applyBorder="1" applyFont="1">
      <alignment horizontal="left" readingOrder="0" shrinkToFit="0" vertical="center" wrapText="1"/>
    </xf>
    <xf borderId="2" fillId="25" fontId="5" numFmtId="0" xfId="0" applyAlignment="1" applyBorder="1" applyFont="1">
      <alignment horizontal="center" readingOrder="0" vertical="center"/>
    </xf>
    <xf borderId="2" fillId="25" fontId="5" numFmtId="0" xfId="0" applyAlignment="1" applyBorder="1" applyFont="1">
      <alignment horizontal="left" shrinkToFit="0" vertical="center" wrapText="1"/>
    </xf>
    <xf borderId="2" fillId="25" fontId="5" numFmtId="0" xfId="0" applyAlignment="1" applyBorder="1" applyFont="1">
      <alignment horizontal="center" vertical="center"/>
    </xf>
    <xf borderId="0" fillId="28" fontId="21" numFmtId="0" xfId="0" applyAlignment="1" applyFont="1">
      <alignment horizontal="center" readingOrder="0" vertical="center"/>
    </xf>
    <xf borderId="5" fillId="28" fontId="5" numFmtId="0" xfId="0" applyBorder="1" applyFont="1"/>
    <xf borderId="5" fillId="28" fontId="5" numFmtId="0" xfId="0" applyAlignment="1" applyBorder="1" applyFont="1">
      <alignment horizontal="left"/>
    </xf>
    <xf borderId="1" fillId="28" fontId="22" numFmtId="0" xfId="0" applyAlignment="1" applyBorder="1" applyFont="1">
      <alignment horizontal="center" readingOrder="0" vertical="center"/>
    </xf>
    <xf borderId="5" fillId="28" fontId="22" numFmtId="0" xfId="0" applyAlignment="1" applyBorder="1" applyFont="1">
      <alignment horizontal="center" vertical="center"/>
    </xf>
    <xf borderId="0" fillId="0" fontId="5" numFmtId="0" xfId="0" applyAlignment="1" applyFont="1">
      <alignment horizontal="left"/>
    </xf>
    <xf borderId="0" fillId="0" fontId="1" numFmtId="0" xfId="0" applyAlignment="1" applyFont="1">
      <alignment shrinkToFit="0" wrapText="1"/>
    </xf>
    <xf borderId="1" fillId="31" fontId="23" numFmtId="0" xfId="0" applyAlignment="1" applyBorder="1" applyFill="1" applyFont="1">
      <alignment horizontal="center" readingOrder="0" shrinkToFit="0" vertical="center" wrapText="1"/>
    </xf>
    <xf borderId="2" fillId="31" fontId="24" numFmtId="0" xfId="0" applyAlignment="1" applyBorder="1" applyFont="1">
      <alignment horizontal="center" readingOrder="0" shrinkToFit="0" vertical="center" wrapText="1"/>
    </xf>
    <xf borderId="1" fillId="31" fontId="2" numFmtId="0" xfId="0" applyAlignment="1" applyBorder="1" applyFont="1">
      <alignment horizontal="center" readingOrder="0" shrinkToFit="0" vertical="center" wrapText="1"/>
    </xf>
    <xf borderId="2" fillId="31" fontId="2" numFmtId="0" xfId="0" applyAlignment="1" applyBorder="1" applyFont="1">
      <alignment horizontal="center" vertical="center"/>
    </xf>
    <xf borderId="1" fillId="31" fontId="24" numFmtId="0" xfId="0" applyAlignment="1" applyBorder="1" applyFont="1">
      <alignment horizontal="center" readingOrder="0" shrinkToFit="0" vertical="center" wrapText="1"/>
    </xf>
    <xf borderId="1" fillId="31" fontId="2" numFmtId="0" xfId="0" applyAlignment="1" applyBorder="1" applyFont="1">
      <alignment horizontal="center" vertical="center"/>
    </xf>
    <xf borderId="6" fillId="31" fontId="24" numFmtId="0" xfId="0" applyAlignment="1" applyBorder="1" applyFont="1">
      <alignment horizontal="center" readingOrder="0" shrinkToFit="0" vertical="center" wrapText="1"/>
    </xf>
    <xf borderId="7" fillId="0" fontId="8" numFmtId="0" xfId="0" applyBorder="1" applyFont="1"/>
    <xf borderId="6" fillId="31" fontId="25" numFmtId="0" xfId="0" applyAlignment="1" applyBorder="1" applyFont="1">
      <alignment horizontal="center" vertical="center"/>
    </xf>
    <xf borderId="8" fillId="0" fontId="8" numFmtId="0" xfId="0" applyBorder="1" applyFont="1"/>
    <xf borderId="9" fillId="0" fontId="8" numFmtId="0" xfId="0" applyBorder="1" applyFont="1"/>
    <xf borderId="10" fillId="0" fontId="8" numFmtId="0" xfId="0" applyBorder="1" applyFont="1"/>
    <xf borderId="11" fillId="0" fontId="8" numFmtId="0" xfId="0" applyBorder="1" applyFont="1"/>
    <xf borderId="0" fillId="30" fontId="24" numFmtId="0" xfId="0" applyAlignment="1" applyFont="1">
      <alignment horizontal="center" readingOrder="0" shrinkToFit="0" vertical="center" wrapText="1"/>
    </xf>
    <xf borderId="0" fillId="30" fontId="26" numFmtId="0" xfId="0" applyAlignment="1" applyFont="1">
      <alignment horizontal="center" shrinkToFit="0" vertical="center" wrapText="1"/>
    </xf>
    <xf borderId="0" fillId="30" fontId="27" numFmtId="0" xfId="0" applyAlignment="1" applyFont="1">
      <alignment horizontal="center" shrinkToFit="0" vertical="center" wrapText="1"/>
    </xf>
    <xf borderId="0" fillId="30" fontId="27"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1" fillId="9" fontId="26" numFmtId="0" xfId="0" applyAlignment="1" applyBorder="1" applyFont="1">
      <alignment horizontal="center" shrinkToFit="0" vertical="center" wrapText="1"/>
    </xf>
    <xf borderId="1" fillId="9" fontId="28" numFmtId="0" xfId="0" applyAlignment="1" applyBorder="1" applyFont="1">
      <alignment horizontal="center" shrinkToFit="0" vertical="center" wrapText="1"/>
    </xf>
    <xf borderId="1" fillId="9" fontId="28" numFmtId="0" xfId="0" applyAlignment="1" applyBorder="1" applyFont="1">
      <alignment horizontal="center" readingOrder="0" shrinkToFit="0" vertical="center" wrapText="1"/>
    </xf>
    <xf borderId="1" fillId="9" fontId="28" numFmtId="0" xfId="0" applyAlignment="1" applyBorder="1" applyFont="1">
      <alignment horizontal="center" readingOrder="0" shrinkToFit="0" vertical="center" wrapText="1"/>
    </xf>
    <xf borderId="2" fillId="24" fontId="29" numFmtId="0" xfId="0" applyAlignment="1" applyBorder="1" applyFont="1">
      <alignment horizontal="center" readingOrder="0" shrinkToFit="0" vertical="center" wrapText="1"/>
    </xf>
    <xf borderId="1" fillId="30" fontId="5" numFmtId="0" xfId="0" applyAlignment="1" applyBorder="1" applyFont="1">
      <alignment horizontal="center" readingOrder="0" shrinkToFit="0" vertical="center" wrapText="1"/>
    </xf>
    <xf borderId="1" fillId="25" fontId="30" numFmtId="0" xfId="0" applyAlignment="1" applyBorder="1" applyFont="1">
      <alignment horizontal="center" readingOrder="0" shrinkToFit="0" vertical="center" wrapText="1"/>
    </xf>
    <xf borderId="1" fillId="30" fontId="5" numFmtId="0" xfId="0" applyAlignment="1" applyBorder="1" applyFont="1">
      <alignment horizontal="center" shrinkToFit="0" vertical="center" wrapText="1"/>
    </xf>
    <xf borderId="2" fillId="12" fontId="29" numFmtId="0" xfId="0" applyAlignment="1" applyBorder="1" applyFont="1">
      <alignment horizontal="center" readingOrder="0" shrinkToFit="0" vertical="center" wrapText="1"/>
    </xf>
    <xf borderId="1" fillId="32" fontId="5" numFmtId="0" xfId="0" applyAlignment="1" applyBorder="1" applyFill="1" applyFont="1">
      <alignment horizontal="center" readingOrder="0" shrinkToFit="0" vertical="center" wrapText="1"/>
    </xf>
    <xf borderId="1" fillId="33" fontId="5" numFmtId="0" xfId="0" applyAlignment="1" applyBorder="1" applyFill="1" applyFont="1">
      <alignment horizontal="center" shrinkToFit="0" vertical="center" wrapText="1"/>
    </xf>
    <xf borderId="2" fillId="18" fontId="29" numFmtId="0" xfId="0" applyAlignment="1" applyBorder="1" applyFont="1">
      <alignment horizontal="center" readingOrder="0" shrinkToFit="0" vertical="center" wrapText="1"/>
    </xf>
    <xf borderId="2" fillId="20" fontId="29" numFmtId="0" xfId="0" applyAlignment="1" applyBorder="1" applyFont="1">
      <alignment horizontal="center" readingOrder="0" shrinkToFit="0" vertical="center" wrapText="1"/>
    </xf>
    <xf borderId="2" fillId="14" fontId="29" numFmtId="0" xfId="0" applyAlignment="1" applyBorder="1" applyFont="1">
      <alignment horizontal="center" readingOrder="0" shrinkToFit="0" vertical="center" wrapText="1"/>
    </xf>
    <xf borderId="1" fillId="15" fontId="5" numFmtId="0" xfId="0" applyAlignment="1" applyBorder="1" applyFont="1">
      <alignment horizontal="center" readingOrder="0" shrinkToFit="0" vertical="center" wrapText="1"/>
    </xf>
    <xf borderId="2" fillId="34" fontId="29" numFmtId="0" xfId="0" applyAlignment="1" applyBorder="1" applyFill="1" applyFont="1">
      <alignment horizontal="center" readingOrder="0" shrinkToFit="0" vertical="center" wrapText="1"/>
    </xf>
    <xf borderId="1" fillId="35" fontId="5" numFmtId="0" xfId="0" applyAlignment="1" applyBorder="1" applyFill="1" applyFont="1">
      <alignment horizontal="center" readingOrder="0" shrinkToFit="0" vertical="center" wrapText="1"/>
    </xf>
    <xf borderId="2" fillId="36" fontId="29" numFmtId="0" xfId="0" applyAlignment="1" applyBorder="1" applyFill="1" applyFont="1">
      <alignment horizontal="center" readingOrder="0" shrinkToFit="0" vertical="center" wrapText="1"/>
    </xf>
    <xf borderId="1" fillId="36" fontId="5" numFmtId="0" xfId="0" applyAlignment="1" applyBorder="1" applyFont="1">
      <alignment horizontal="center" readingOrder="0" shrinkToFit="0" vertical="center" wrapText="1"/>
    </xf>
    <xf borderId="2" fillId="15" fontId="29" numFmtId="0" xfId="0" applyAlignment="1" applyBorder="1" applyFont="1">
      <alignment horizontal="center" readingOrder="0" shrinkToFit="0" vertical="center" wrapText="1"/>
    </xf>
    <xf borderId="1" fillId="37" fontId="5" numFmtId="0" xfId="0" applyAlignment="1" applyBorder="1" applyFill="1" applyFont="1">
      <alignment horizontal="center" readingOrder="0" shrinkToFit="0" vertical="center" wrapText="1"/>
    </xf>
    <xf borderId="2" fillId="38" fontId="29" numFmtId="0" xfId="0" applyAlignment="1" applyBorder="1" applyFill="1" applyFont="1">
      <alignment horizontal="center" readingOrder="0" shrinkToFit="0" vertical="center" wrapText="1"/>
    </xf>
    <xf borderId="2" fillId="39" fontId="29" numFmtId="0" xfId="0" applyAlignment="1" applyBorder="1" applyFill="1" applyFont="1">
      <alignment horizontal="center" readingOrder="0" shrinkToFit="0" vertical="center" wrapText="1"/>
    </xf>
    <xf borderId="1" fillId="40" fontId="5" numFmtId="0" xfId="0" applyAlignment="1" applyBorder="1" applyFill="1" applyFont="1">
      <alignment horizontal="center" readingOrder="0" shrinkToFit="0" vertical="center" wrapText="1"/>
    </xf>
    <xf borderId="0" fillId="28" fontId="29" numFmtId="0" xfId="0" applyAlignment="1" applyFont="1">
      <alignment horizontal="center" readingOrder="0" shrinkToFit="0" vertical="center" wrapText="1"/>
    </xf>
    <xf borderId="0" fillId="28" fontId="1" numFmtId="0" xfId="0" applyAlignment="1" applyFont="1">
      <alignment horizontal="center" shrinkToFit="0" vertical="center" wrapText="1"/>
    </xf>
    <xf borderId="0" fillId="28" fontId="22" numFmtId="0" xfId="0" applyAlignment="1" applyFont="1">
      <alignment horizontal="center" shrinkToFit="0" vertical="center" wrapText="1"/>
    </xf>
    <xf borderId="0" fillId="0" fontId="29" numFmtId="0" xfId="0" applyAlignment="1" applyFont="1">
      <alignment horizontal="center" shrinkToFit="0" vertical="center" wrapText="1"/>
    </xf>
    <xf borderId="0" fillId="30" fontId="1" numFmtId="0" xfId="0" applyAlignment="1" applyFont="1">
      <alignment horizontal="center" shrinkToFit="0" vertical="center" wrapText="1"/>
    </xf>
    <xf borderId="0" fillId="0" fontId="31" numFmtId="0" xfId="0" applyAlignment="1" applyFont="1">
      <alignment horizontal="center" shrinkToFit="0" vertical="center" wrapText="1"/>
    </xf>
    <xf borderId="0" fillId="41" fontId="32" numFmtId="0" xfId="0" applyFill="1" applyFont="1"/>
    <xf borderId="0" fillId="42" fontId="33" numFmtId="0" xfId="0" applyFill="1" applyFont="1"/>
    <xf borderId="0" fillId="41" fontId="1" numFmtId="0" xfId="0" applyFont="1"/>
    <xf borderId="0" fillId="30" fontId="1" numFmtId="0" xfId="0" applyAlignment="1" applyFont="1">
      <alignment horizontal="center"/>
    </xf>
    <xf borderId="0" fillId="41" fontId="1" numFmtId="0" xfId="0" applyAlignment="1" applyFont="1">
      <alignment horizontal="center"/>
    </xf>
    <xf borderId="5" fillId="41" fontId="32" numFmtId="0" xfId="0" applyBorder="1" applyFont="1"/>
    <xf borderId="5" fillId="41" fontId="32" numFmtId="0" xfId="0" applyAlignment="1" applyBorder="1" applyFont="1">
      <alignment horizontal="center"/>
    </xf>
    <xf borderId="0" fillId="30" fontId="34" numFmtId="0" xfId="0" applyAlignment="1" applyFont="1">
      <alignment horizontal="center" readingOrder="0" shrinkToFit="0" vertical="center" wrapText="1"/>
    </xf>
    <xf borderId="0" fillId="30" fontId="34" numFmtId="0" xfId="0" applyAlignment="1" applyFont="1">
      <alignment horizontal="center" shrinkToFit="0" vertical="center" wrapText="1"/>
    </xf>
    <xf borderId="0" fillId="30" fontId="34" numFmtId="0" xfId="0" applyAlignment="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xf borderId="1" fillId="9" fontId="34" numFmtId="0" xfId="0" applyAlignment="1" applyBorder="1" applyFont="1">
      <alignment horizontal="center" readingOrder="0" shrinkToFit="0" vertical="center" wrapText="1"/>
    </xf>
    <xf borderId="1" fillId="9" fontId="34" numFmtId="0" xfId="0" applyAlignment="1" applyBorder="1" applyFont="1">
      <alignment horizontal="center" shrinkToFit="0" vertical="center" wrapText="1"/>
    </xf>
    <xf borderId="1" fillId="9" fontId="34" numFmtId="0" xfId="0" applyAlignment="1" applyBorder="1" applyFont="1">
      <alignment horizontal="center" readingOrder="0" shrinkToFit="0" vertical="center" wrapText="1"/>
    </xf>
    <xf borderId="2" fillId="10" fontId="34" numFmtId="0" xfId="0" applyAlignment="1" applyBorder="1" applyFont="1">
      <alignment horizontal="center" readingOrder="0" shrinkToFit="0" vertical="center" wrapText="1"/>
    </xf>
    <xf borderId="1" fillId="0" fontId="35" numFmtId="0" xfId="0" applyAlignment="1" applyBorder="1" applyFont="1">
      <alignment shrinkToFit="0" vertical="bottom" wrapText="1"/>
    </xf>
    <xf borderId="1" fillId="0" fontId="35" numFmtId="0" xfId="0" applyAlignment="1" applyBorder="1" applyFont="1">
      <alignment horizontal="center" shrinkToFit="0" vertical="center" wrapText="1"/>
    </xf>
    <xf borderId="1" fillId="11" fontId="35" numFmtId="164" xfId="0" applyAlignment="1" applyBorder="1" applyFont="1" applyNumberFormat="1">
      <alignment horizontal="center" shrinkToFit="0" vertical="center" wrapText="1"/>
    </xf>
    <xf borderId="1" fillId="11" fontId="35" numFmtId="0" xfId="0" applyAlignment="1" applyBorder="1" applyFont="1">
      <alignment horizontal="left" shrinkToFit="0" vertical="center" wrapText="1"/>
    </xf>
    <xf borderId="1" fillId="11" fontId="35" numFmtId="0" xfId="0" applyAlignment="1" applyBorder="1" applyFont="1">
      <alignment horizontal="left" readingOrder="0" shrinkToFit="0" vertical="center" wrapText="1"/>
    </xf>
    <xf borderId="1" fillId="11" fontId="35" numFmtId="0" xfId="0" applyAlignment="1" applyBorder="1" applyFont="1">
      <alignment horizontal="center" readingOrder="0" shrinkToFit="0" vertical="center" wrapText="1"/>
    </xf>
    <xf borderId="1" fillId="0" fontId="35" numFmtId="0" xfId="0" applyAlignment="1" applyBorder="1" applyFont="1">
      <alignment horizontal="left" shrinkToFit="0" vertical="center" wrapText="1"/>
    </xf>
    <xf borderId="0" fillId="0" fontId="1" numFmtId="0" xfId="0" applyAlignment="1" applyFont="1">
      <alignment shrinkToFit="0" vertical="center" wrapText="1"/>
    </xf>
    <xf borderId="0" fillId="0" fontId="36" numFmtId="0" xfId="0" applyAlignment="1" applyFont="1">
      <alignment vertical="bottom"/>
    </xf>
    <xf borderId="1" fillId="0" fontId="5" numFmtId="0" xfId="0" applyAlignment="1" applyBorder="1" applyFont="1">
      <alignment horizontal="left" shrinkToFit="0" vertical="center" wrapText="1"/>
    </xf>
    <xf borderId="0" fillId="0" fontId="1" numFmtId="0" xfId="0" applyFont="1"/>
    <xf borderId="1" fillId="11" fontId="35" numFmtId="0" xfId="0" applyAlignment="1" applyBorder="1" applyFont="1">
      <alignment horizontal="center" shrinkToFit="0" vertical="center" wrapText="1"/>
    </xf>
    <xf borderId="2" fillId="12" fontId="34" numFmtId="0" xfId="0" applyAlignment="1" applyBorder="1" applyFont="1">
      <alignment horizontal="center" readingOrder="0" shrinkToFit="0" vertical="center" wrapText="1"/>
    </xf>
    <xf borderId="1" fillId="13" fontId="35" numFmtId="164" xfId="0" applyAlignment="1" applyBorder="1" applyFont="1" applyNumberFormat="1">
      <alignment horizontal="center" shrinkToFit="0" vertical="center" wrapText="1"/>
    </xf>
    <xf borderId="1" fillId="13" fontId="35" numFmtId="0" xfId="0" applyAlignment="1" applyBorder="1" applyFont="1">
      <alignment horizontal="left" shrinkToFit="0" vertical="center" wrapText="1"/>
    </xf>
    <xf borderId="1" fillId="13" fontId="35" numFmtId="0" xfId="0" applyAlignment="1" applyBorder="1" applyFont="1">
      <alignment horizontal="left" readingOrder="0" shrinkToFit="0" vertical="center" wrapText="1"/>
    </xf>
    <xf borderId="1" fillId="13" fontId="35" numFmtId="0" xfId="0" applyAlignment="1" applyBorder="1" applyFont="1">
      <alignment horizontal="center" readingOrder="0" shrinkToFit="0" vertical="center" wrapText="1"/>
    </xf>
    <xf borderId="1" fillId="0" fontId="35" numFmtId="0" xfId="0" applyAlignment="1" applyBorder="1" applyFont="1">
      <alignment horizontal="left" readingOrder="0" shrinkToFit="0" vertical="center" wrapText="1"/>
    </xf>
    <xf borderId="0" fillId="0" fontId="35" numFmtId="0" xfId="0" applyAlignment="1" applyFont="1">
      <alignment readingOrder="0" shrinkToFit="0" vertical="center" wrapText="1"/>
    </xf>
    <xf borderId="1" fillId="0" fontId="5" numFmtId="0" xfId="0" applyAlignment="1" applyBorder="1" applyFont="1">
      <alignment horizontal="center" shrinkToFit="0" vertical="top" wrapText="1"/>
    </xf>
    <xf borderId="1" fillId="13" fontId="35" numFmtId="0" xfId="0" applyAlignment="1" applyBorder="1" applyFont="1">
      <alignment horizontal="center" shrinkToFit="0" vertical="center" wrapText="1"/>
    </xf>
    <xf borderId="0" fillId="0" fontId="37"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2" fillId="14" fontId="34" numFmtId="0" xfId="0" applyAlignment="1" applyBorder="1" applyFont="1">
      <alignment horizontal="center" readingOrder="0" shrinkToFit="0" vertical="center" wrapText="1"/>
    </xf>
    <xf borderId="1" fillId="15" fontId="35" numFmtId="164" xfId="0" applyAlignment="1" applyBorder="1" applyFont="1" applyNumberFormat="1">
      <alignment horizontal="center" shrinkToFit="0" vertical="center" wrapText="1"/>
    </xf>
    <xf borderId="1" fillId="15" fontId="35" numFmtId="0" xfId="0" applyAlignment="1" applyBorder="1" applyFont="1">
      <alignment horizontal="left" shrinkToFit="0" vertical="center" wrapText="1"/>
    </xf>
    <xf borderId="1" fillId="15" fontId="35" numFmtId="0" xfId="0" applyAlignment="1" applyBorder="1" applyFont="1">
      <alignment horizontal="left" readingOrder="0" shrinkToFit="0" vertical="center" wrapText="1"/>
    </xf>
    <xf borderId="1" fillId="15" fontId="35" numFmtId="0" xfId="0" applyAlignment="1" applyBorder="1" applyFont="1">
      <alignment horizontal="center" readingOrder="0" shrinkToFit="0" vertical="center" wrapText="1"/>
    </xf>
    <xf borderId="0" fillId="0" fontId="40"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0" fontId="36" numFmtId="0" xfId="0" applyAlignment="1" applyFont="1">
      <alignment readingOrder="0" vertical="bottom"/>
    </xf>
    <xf borderId="0" fillId="0" fontId="36" numFmtId="0" xfId="0" applyAlignment="1" applyFont="1">
      <alignment horizontal="center" vertical="bottom"/>
    </xf>
    <xf borderId="0" fillId="0" fontId="42" numFmtId="0" xfId="0" applyFont="1"/>
    <xf borderId="2" fillId="16" fontId="34" numFmtId="0" xfId="0" applyAlignment="1" applyBorder="1" applyFont="1">
      <alignment horizontal="center" readingOrder="0" shrinkToFit="0" vertical="center" wrapText="1"/>
    </xf>
    <xf borderId="1" fillId="17" fontId="35" numFmtId="164" xfId="0" applyAlignment="1" applyBorder="1" applyFont="1" applyNumberFormat="1">
      <alignment horizontal="center" shrinkToFit="0" vertical="center" wrapText="1"/>
    </xf>
    <xf borderId="1" fillId="17" fontId="35" numFmtId="0" xfId="0" applyAlignment="1" applyBorder="1" applyFont="1">
      <alignment horizontal="left" shrinkToFit="0" vertical="center" wrapText="1"/>
    </xf>
    <xf borderId="1" fillId="17" fontId="35" numFmtId="0" xfId="0" applyAlignment="1" applyBorder="1" applyFont="1">
      <alignment horizontal="left" readingOrder="0" shrinkToFit="0" vertical="center" wrapText="1"/>
    </xf>
    <xf borderId="1" fillId="17" fontId="35" numFmtId="0" xfId="0" applyAlignment="1" applyBorder="1" applyFont="1">
      <alignment horizontal="center" readingOrder="0" shrinkToFit="0" vertical="center" wrapText="1"/>
    </xf>
    <xf borderId="0" fillId="0" fontId="36" numFmtId="0" xfId="0" applyAlignment="1" applyFont="1">
      <alignment horizontal="center" readingOrder="0" vertical="bottom"/>
    </xf>
    <xf borderId="2" fillId="18" fontId="34" numFmtId="0" xfId="0" applyAlignment="1" applyBorder="1" applyFont="1">
      <alignment horizontal="center" readingOrder="0" shrinkToFit="0" vertical="center" wrapText="1"/>
    </xf>
    <xf borderId="1" fillId="19" fontId="35" numFmtId="164" xfId="0" applyAlignment="1" applyBorder="1" applyFont="1" applyNumberFormat="1">
      <alignment horizontal="center" shrinkToFit="0" vertical="center" wrapText="1"/>
    </xf>
    <xf borderId="1" fillId="19" fontId="35" numFmtId="0" xfId="0" applyAlignment="1" applyBorder="1" applyFont="1">
      <alignment horizontal="left" shrinkToFit="0" vertical="center" wrapText="1"/>
    </xf>
    <xf borderId="1" fillId="19" fontId="35" numFmtId="0" xfId="0" applyAlignment="1" applyBorder="1" applyFont="1">
      <alignment horizontal="left" readingOrder="0" shrinkToFit="0" vertical="center" wrapText="1"/>
    </xf>
    <xf borderId="1" fillId="19" fontId="35" numFmtId="0" xfId="0" applyAlignment="1" applyBorder="1" applyFont="1">
      <alignment horizontal="center" readingOrder="0" shrinkToFit="0" vertical="center" wrapText="1"/>
    </xf>
    <xf borderId="2" fillId="20" fontId="34" numFmtId="0" xfId="0" applyAlignment="1" applyBorder="1" applyFont="1">
      <alignment horizontal="center" readingOrder="0" shrinkToFit="0" vertical="center" wrapText="1"/>
    </xf>
    <xf borderId="1" fillId="21" fontId="35" numFmtId="164" xfId="0" applyAlignment="1" applyBorder="1" applyFont="1" applyNumberFormat="1">
      <alignment horizontal="center" shrinkToFit="0" vertical="center" wrapText="1"/>
    </xf>
    <xf borderId="1" fillId="21" fontId="35" numFmtId="0" xfId="0" applyAlignment="1" applyBorder="1" applyFont="1">
      <alignment horizontal="left" shrinkToFit="0" vertical="center" wrapText="1"/>
    </xf>
    <xf borderId="1" fillId="21" fontId="35" numFmtId="0" xfId="0" applyAlignment="1" applyBorder="1" applyFont="1">
      <alignment horizontal="left" readingOrder="0" shrinkToFit="0" vertical="center" wrapText="1"/>
    </xf>
    <xf borderId="1" fillId="21" fontId="3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2" fillId="24" fontId="34" numFmtId="0" xfId="0" applyAlignment="1" applyBorder="1" applyFont="1">
      <alignment horizontal="center" readingOrder="0" shrinkToFit="0" vertical="center" wrapText="1"/>
    </xf>
    <xf borderId="1" fillId="25" fontId="35" numFmtId="164" xfId="0" applyAlignment="1" applyBorder="1" applyFont="1" applyNumberFormat="1">
      <alignment horizontal="center" shrinkToFit="0" vertical="center" wrapText="1"/>
    </xf>
    <xf borderId="1" fillId="25" fontId="35" numFmtId="0" xfId="0" applyAlignment="1" applyBorder="1" applyFont="1">
      <alignment horizontal="left" shrinkToFit="0" vertical="center" wrapText="1"/>
    </xf>
    <xf borderId="1" fillId="25" fontId="35" numFmtId="0" xfId="0" applyAlignment="1" applyBorder="1" applyFont="1">
      <alignment horizontal="left" readingOrder="0" shrinkToFit="0" vertical="center" wrapText="1"/>
    </xf>
    <xf borderId="1" fillId="25" fontId="35" numFmtId="0" xfId="0" applyAlignment="1" applyBorder="1" applyFont="1">
      <alignment horizontal="center" readingOrder="0" shrinkToFit="0" vertical="center" wrapText="1"/>
    </xf>
    <xf borderId="2" fillId="26" fontId="34" numFmtId="0" xfId="0" applyAlignment="1" applyBorder="1" applyFont="1">
      <alignment horizontal="center" readingOrder="0" shrinkToFit="0" vertical="center" wrapText="1"/>
    </xf>
    <xf borderId="1" fillId="29" fontId="35" numFmtId="164" xfId="0" applyAlignment="1" applyBorder="1" applyFont="1" applyNumberFormat="1">
      <alignment horizontal="center" shrinkToFit="0" vertical="center" wrapText="1"/>
    </xf>
    <xf borderId="1" fillId="29" fontId="35" numFmtId="0" xfId="0" applyAlignment="1" applyBorder="1" applyFont="1">
      <alignment horizontal="left" shrinkToFit="0" vertical="center" wrapText="1"/>
    </xf>
    <xf borderId="1" fillId="29" fontId="35" numFmtId="0" xfId="0" applyAlignment="1" applyBorder="1" applyFont="1">
      <alignment horizontal="left" readingOrder="0" shrinkToFit="0" vertical="center" wrapText="1"/>
    </xf>
    <xf borderId="1" fillId="29" fontId="35" numFmtId="0" xfId="0" applyAlignment="1" applyBorder="1" applyFont="1">
      <alignment horizontal="center" readingOrder="0" shrinkToFit="0" vertical="center" wrapText="1"/>
    </xf>
    <xf borderId="2" fillId="28" fontId="34" numFmtId="0" xfId="0" applyAlignment="1" applyBorder="1" applyFont="1">
      <alignment horizontal="center" readingOrder="0" shrinkToFit="0" vertical="center" wrapText="1"/>
    </xf>
    <xf borderId="1" fillId="43" fontId="35" numFmtId="164" xfId="0" applyAlignment="1" applyBorder="1" applyFill="1" applyFont="1" applyNumberFormat="1">
      <alignment horizontal="center" shrinkToFit="0" vertical="center" wrapText="1"/>
    </xf>
    <xf borderId="1" fillId="43" fontId="35" numFmtId="0" xfId="0" applyAlignment="1" applyBorder="1" applyFont="1">
      <alignment horizontal="left" shrinkToFit="0" vertical="center" wrapText="1"/>
    </xf>
    <xf borderId="1" fillId="43" fontId="35" numFmtId="0" xfId="0" applyAlignment="1" applyBorder="1" applyFont="1">
      <alignment horizontal="left" readingOrder="0" shrinkToFit="0" vertical="center" wrapText="1"/>
    </xf>
    <xf borderId="1" fillId="43" fontId="35" numFmtId="0" xfId="0" applyAlignment="1" applyBorder="1" applyFont="1">
      <alignment horizontal="center" readingOrder="0" shrinkToFit="0" vertical="center" wrapText="1"/>
    </xf>
    <xf borderId="2" fillId="36" fontId="34" numFmtId="0" xfId="0" applyAlignment="1" applyBorder="1" applyFont="1">
      <alignment horizontal="center" readingOrder="0" shrinkToFit="0" vertical="center" wrapText="1"/>
    </xf>
    <xf borderId="1" fillId="44" fontId="35" numFmtId="164" xfId="0" applyAlignment="1" applyBorder="1" applyFill="1" applyFont="1" applyNumberFormat="1">
      <alignment horizontal="center" shrinkToFit="0" vertical="center" wrapText="1"/>
    </xf>
    <xf borderId="1" fillId="44" fontId="35" numFmtId="0" xfId="0" applyAlignment="1" applyBorder="1" applyFont="1">
      <alignment horizontal="left" shrinkToFit="0" vertical="center" wrapText="1"/>
    </xf>
    <xf borderId="1" fillId="44" fontId="35" numFmtId="0" xfId="0" applyAlignment="1" applyBorder="1" applyFont="1">
      <alignment horizontal="left" readingOrder="0" shrinkToFit="0" vertical="center" wrapText="1"/>
    </xf>
    <xf borderId="1" fillId="44" fontId="35" numFmtId="0" xfId="0" applyAlignment="1" applyBorder="1" applyFont="1">
      <alignment horizontal="center" readingOrder="0" shrinkToFit="0" vertical="center" wrapText="1"/>
    </xf>
    <xf borderId="2" fillId="45" fontId="34" numFmtId="0" xfId="0" applyAlignment="1" applyBorder="1" applyFill="1" applyFont="1">
      <alignment horizontal="center" readingOrder="0" shrinkToFit="0" vertical="center" wrapText="1"/>
    </xf>
    <xf borderId="1" fillId="46" fontId="35" numFmtId="164" xfId="0" applyAlignment="1" applyBorder="1" applyFill="1" applyFont="1" applyNumberFormat="1">
      <alignment horizontal="center" shrinkToFit="0" vertical="center" wrapText="1"/>
    </xf>
    <xf borderId="1" fillId="46" fontId="35" numFmtId="0" xfId="0" applyAlignment="1" applyBorder="1" applyFont="1">
      <alignment horizontal="left" shrinkToFit="0" vertical="center" wrapText="1"/>
    </xf>
    <xf borderId="1" fillId="46" fontId="35" numFmtId="0" xfId="0" applyAlignment="1" applyBorder="1" applyFont="1">
      <alignment horizontal="left" readingOrder="0" shrinkToFit="0" vertical="center" wrapText="1"/>
    </xf>
    <xf borderId="1" fillId="46" fontId="35" numFmtId="0" xfId="0" applyAlignment="1" applyBorder="1" applyFont="1">
      <alignment horizontal="center" readingOrder="0" shrinkToFit="0" vertical="center" wrapText="1"/>
    </xf>
    <xf borderId="1" fillId="46" fontId="35" numFmtId="0" xfId="0" applyAlignment="1" applyBorder="1" applyFont="1">
      <alignment horizontal="center" shrinkToFit="0" vertical="center" wrapText="1"/>
    </xf>
    <xf borderId="2" fillId="47" fontId="34" numFmtId="0" xfId="0" applyAlignment="1" applyBorder="1" applyFill="1" applyFont="1">
      <alignment horizontal="center" readingOrder="0" shrinkToFit="0" vertical="center" wrapText="1"/>
    </xf>
    <xf borderId="1" fillId="48" fontId="35" numFmtId="164" xfId="0" applyAlignment="1" applyBorder="1" applyFill="1" applyFont="1" applyNumberFormat="1">
      <alignment horizontal="center" shrinkToFit="0" vertical="center" wrapText="1"/>
    </xf>
    <xf borderId="1" fillId="48" fontId="35" numFmtId="0" xfId="0" applyAlignment="1" applyBorder="1" applyFont="1">
      <alignment horizontal="left" shrinkToFit="0" vertical="center" wrapText="1"/>
    </xf>
    <xf borderId="1" fillId="48" fontId="35" numFmtId="0" xfId="0" applyAlignment="1" applyBorder="1" applyFont="1">
      <alignment horizontal="left" readingOrder="0" shrinkToFit="0" vertical="center" wrapText="1"/>
    </xf>
    <xf borderId="1" fillId="48" fontId="35" numFmtId="0" xfId="0" applyAlignment="1" applyBorder="1" applyFont="1">
      <alignment horizontal="center" readingOrder="0" shrinkToFit="0" vertical="center" wrapText="1"/>
    </xf>
    <xf borderId="2" fillId="49" fontId="34" numFmtId="0" xfId="0" applyAlignment="1" applyBorder="1" applyFill="1" applyFont="1">
      <alignment horizontal="center" readingOrder="0" shrinkToFit="0" vertical="center" wrapText="1"/>
    </xf>
    <xf borderId="1" fillId="50" fontId="35" numFmtId="164" xfId="0" applyAlignment="1" applyBorder="1" applyFill="1" applyFont="1" applyNumberFormat="1">
      <alignment horizontal="center" shrinkToFit="0" vertical="center" wrapText="1"/>
    </xf>
    <xf borderId="1" fillId="50" fontId="35" numFmtId="0" xfId="0" applyAlignment="1" applyBorder="1" applyFont="1">
      <alignment horizontal="left" shrinkToFit="0" vertical="center" wrapText="1"/>
    </xf>
    <xf borderId="1" fillId="50" fontId="35" numFmtId="0" xfId="0" applyAlignment="1" applyBorder="1" applyFont="1">
      <alignment horizontal="left" readingOrder="0" shrinkToFit="0" vertical="center" wrapText="1"/>
    </xf>
    <xf borderId="1" fillId="50" fontId="35" numFmtId="0" xfId="0" applyAlignment="1" applyBorder="1" applyFont="1">
      <alignment horizontal="center" readingOrder="0" shrinkToFit="0" vertical="center" wrapText="1"/>
    </xf>
    <xf borderId="2" fillId="7" fontId="34" numFmtId="0" xfId="0" applyAlignment="1" applyBorder="1" applyFont="1">
      <alignment horizontal="center" readingOrder="0" shrinkToFit="0" vertical="center" wrapText="1"/>
    </xf>
    <xf borderId="1" fillId="51" fontId="35" numFmtId="164" xfId="0" applyAlignment="1" applyBorder="1" applyFill="1" applyFont="1" applyNumberFormat="1">
      <alignment horizontal="center" shrinkToFit="0" vertical="center" wrapText="1"/>
    </xf>
    <xf borderId="1" fillId="51" fontId="35" numFmtId="0" xfId="0" applyAlignment="1" applyBorder="1" applyFont="1">
      <alignment horizontal="left" shrinkToFit="0" vertical="center" wrapText="1"/>
    </xf>
    <xf borderId="1" fillId="51" fontId="35" numFmtId="0" xfId="0" applyAlignment="1" applyBorder="1" applyFont="1">
      <alignment horizontal="left" readingOrder="0" shrinkToFit="0" vertical="center" wrapText="1"/>
    </xf>
    <xf borderId="1" fillId="51" fontId="35" numFmtId="0" xfId="0" applyAlignment="1" applyBorder="1" applyFont="1">
      <alignment horizontal="center" readingOrder="0" shrinkToFit="0" vertical="center" wrapText="1"/>
    </xf>
    <xf borderId="2" fillId="52" fontId="34" numFmtId="0" xfId="0" applyAlignment="1" applyBorder="1" applyFill="1" applyFont="1">
      <alignment horizontal="center" readingOrder="0" shrinkToFit="0" vertical="center" wrapText="1"/>
    </xf>
    <xf borderId="1" fillId="53" fontId="35" numFmtId="164" xfId="0" applyAlignment="1" applyBorder="1" applyFill="1" applyFont="1" applyNumberFormat="1">
      <alignment horizontal="center" shrinkToFit="0" vertical="center" wrapText="1"/>
    </xf>
    <xf borderId="1" fillId="53" fontId="35" numFmtId="0" xfId="0" applyAlignment="1" applyBorder="1" applyFont="1">
      <alignment horizontal="left" shrinkToFit="0" vertical="center" wrapText="1"/>
    </xf>
    <xf borderId="1" fillId="53" fontId="35" numFmtId="0" xfId="0" applyAlignment="1" applyBorder="1" applyFont="1">
      <alignment horizontal="left" readingOrder="0" shrinkToFit="0" vertical="center" wrapText="1"/>
    </xf>
    <xf borderId="1" fillId="53" fontId="35" numFmtId="0" xfId="0" applyAlignment="1" applyBorder="1" applyFont="1">
      <alignment horizontal="center" readingOrder="0" shrinkToFit="0" vertical="center" wrapText="1"/>
    </xf>
    <xf borderId="2" fillId="54" fontId="34" numFmtId="0" xfId="0" applyAlignment="1" applyBorder="1" applyFill="1" applyFont="1">
      <alignment horizontal="center" readingOrder="0" shrinkToFit="0" vertical="center" wrapText="1"/>
    </xf>
    <xf borderId="1" fillId="55" fontId="35" numFmtId="164" xfId="0" applyAlignment="1" applyBorder="1" applyFill="1" applyFont="1" applyNumberFormat="1">
      <alignment horizontal="center" shrinkToFit="0" vertical="center" wrapText="1"/>
    </xf>
    <xf borderId="1" fillId="55" fontId="35" numFmtId="0" xfId="0" applyAlignment="1" applyBorder="1" applyFont="1">
      <alignment horizontal="left" shrinkToFit="0" vertical="center" wrapText="1"/>
    </xf>
    <xf borderId="1" fillId="55" fontId="35" numFmtId="0" xfId="0" applyAlignment="1" applyBorder="1" applyFont="1">
      <alignment horizontal="left" readingOrder="0" shrinkToFit="0" vertical="center" wrapText="1"/>
    </xf>
    <xf borderId="1" fillId="55" fontId="35" numFmtId="0" xfId="0" applyAlignment="1" applyBorder="1" applyFont="1">
      <alignment horizontal="center" readingOrder="0" shrinkToFit="0" vertical="center" wrapText="1"/>
    </xf>
    <xf borderId="2" fillId="4" fontId="34" numFmtId="0" xfId="0" applyAlignment="1" applyBorder="1" applyFont="1">
      <alignment horizontal="center" readingOrder="0" shrinkToFit="0" vertical="center" wrapText="1"/>
    </xf>
    <xf borderId="1" fillId="32" fontId="35" numFmtId="164" xfId="0" applyAlignment="1" applyBorder="1" applyFont="1" applyNumberFormat="1">
      <alignment horizontal="center" shrinkToFit="0" vertical="center" wrapText="1"/>
    </xf>
    <xf borderId="1" fillId="32" fontId="35" numFmtId="0" xfId="0" applyAlignment="1" applyBorder="1" applyFont="1">
      <alignment horizontal="left" shrinkToFit="0" vertical="center" wrapText="1"/>
    </xf>
    <xf borderId="1" fillId="32" fontId="35" numFmtId="0" xfId="0" applyAlignment="1" applyBorder="1" applyFont="1">
      <alignment horizontal="left" readingOrder="0" shrinkToFit="0" vertical="center" wrapText="1"/>
    </xf>
    <xf borderId="1" fillId="32" fontId="35" numFmtId="0" xfId="0" applyAlignment="1" applyBorder="1" applyFont="1">
      <alignment horizontal="center" readingOrder="0" shrinkToFit="0" vertical="center" wrapText="1"/>
    </xf>
    <xf borderId="2" fillId="56" fontId="34" numFmtId="0" xfId="0" applyAlignment="1" applyBorder="1" applyFill="1" applyFont="1">
      <alignment horizontal="center" readingOrder="0" shrinkToFit="0" vertical="center" wrapText="1"/>
    </xf>
    <xf borderId="1" fillId="57" fontId="35" numFmtId="164" xfId="0" applyAlignment="1" applyBorder="1" applyFill="1" applyFont="1" applyNumberFormat="1">
      <alignment horizontal="center" shrinkToFit="0" vertical="center" wrapText="1"/>
    </xf>
    <xf borderId="1" fillId="57" fontId="35" numFmtId="0" xfId="0" applyAlignment="1" applyBorder="1" applyFont="1">
      <alignment horizontal="left" shrinkToFit="0" vertical="center" wrapText="1"/>
    </xf>
    <xf borderId="1" fillId="57" fontId="35" numFmtId="0" xfId="0" applyAlignment="1" applyBorder="1" applyFont="1">
      <alignment horizontal="left" readingOrder="0" shrinkToFit="0" vertical="center" wrapText="1"/>
    </xf>
    <xf borderId="1" fillId="57" fontId="35" numFmtId="0" xfId="0" applyAlignment="1" applyBorder="1" applyFont="1">
      <alignment horizontal="center" readingOrder="0" shrinkToFit="0" vertical="center" wrapText="1"/>
    </xf>
    <xf borderId="0" fillId="34" fontId="25" numFmtId="0" xfId="0" applyAlignment="1" applyFont="1">
      <alignment horizontal="center" readingOrder="0" vertical="center"/>
    </xf>
    <xf borderId="0" fillId="34" fontId="25" numFmtId="0" xfId="0" applyAlignment="1" applyFont="1">
      <alignment horizontal="center" vertical="center"/>
    </xf>
    <xf borderId="0" fillId="34" fontId="43" numFmtId="0" xfId="0" applyAlignment="1" applyFont="1">
      <alignment horizontal="center" shrinkToFit="0" vertical="center" wrapText="1"/>
    </xf>
    <xf borderId="0" fillId="34" fontId="43" numFmtId="0" xfId="0" applyAlignment="1" applyFont="1">
      <alignment horizontal="center" shrinkToFit="0" vertical="center" wrapText="0"/>
    </xf>
    <xf borderId="0" fillId="34" fontId="25" numFmtId="0" xfId="0" applyAlignment="1" applyFont="1">
      <alignment horizontal="center" shrinkToFit="0" vertical="center" wrapText="1"/>
    </xf>
    <xf borderId="0" fillId="0" fontId="1" numFmtId="0" xfId="0" applyAlignment="1" applyFont="1">
      <alignment horizontal="left" vertical="center"/>
    </xf>
    <xf borderId="0" fillId="0" fontId="1" numFmtId="0" xfId="0" applyAlignment="1" applyFont="1">
      <alignment horizontal="left"/>
    </xf>
    <xf borderId="0" fillId="0" fontId="44" numFmtId="0" xfId="0" applyAlignment="1" applyFont="1">
      <alignment horizontal="left" shrinkToFit="0" vertical="bottom" wrapText="1"/>
    </xf>
    <xf borderId="0" fillId="0" fontId="44" numFmtId="0" xfId="0" applyAlignment="1" applyFont="1">
      <alignment horizontal="center" shrinkToFit="0" vertical="center" wrapText="0"/>
    </xf>
    <xf borderId="0" fillId="0" fontId="1" numFmtId="0" xfId="0" applyAlignment="1" applyFont="1">
      <alignment horizontal="left" shrinkToFit="0" vertical="center" wrapText="1"/>
    </xf>
    <xf borderId="0" fillId="0" fontId="36" numFmtId="0" xfId="0" applyAlignment="1" applyFont="1">
      <alignment horizontal="left" vertical="center"/>
    </xf>
    <xf borderId="0" fillId="0" fontId="44" numFmtId="0" xfId="0" applyAlignment="1" applyFont="1">
      <alignment shrinkToFit="0" vertical="bottom" wrapText="1"/>
    </xf>
    <xf borderId="0" fillId="0" fontId="45" numFmtId="0" xfId="0" applyAlignment="1" applyFont="1">
      <alignment vertical="bottom"/>
    </xf>
    <xf borderId="0" fillId="0" fontId="45" numFmtId="0" xfId="0" applyAlignment="1" applyFont="1">
      <alignment vertical="bottom"/>
    </xf>
    <xf borderId="0" fillId="0" fontId="45" numFmtId="0" xfId="0" applyAlignment="1" applyFont="1">
      <alignment horizontal="right" vertical="bottom"/>
    </xf>
    <xf borderId="0" fillId="0" fontId="45" numFmtId="0" xfId="0" applyAlignment="1" applyFont="1">
      <alignment horizontal="right" vertical="bottom"/>
    </xf>
    <xf borderId="0" fillId="0" fontId="45" numFmtId="0" xfId="0" applyAlignment="1" applyFont="1">
      <alignment readingOrder="0" vertical="bottom"/>
    </xf>
    <xf borderId="0" fillId="0" fontId="46" numFmtId="0" xfId="0" applyAlignment="1" applyFont="1">
      <alignment readingOrder="0"/>
    </xf>
    <xf borderId="0" fillId="0" fontId="46" numFmtId="0" xfId="0" applyFont="1"/>
    <xf borderId="0" fillId="30" fontId="46" numFmtId="0" xfId="0" applyFont="1"/>
    <xf borderId="0" fillId="30" fontId="33" numFmtId="0" xfId="0" applyFont="1"/>
    <xf borderId="0" fillId="0" fontId="33" numFmtId="0" xfId="0" applyFont="1"/>
  </cellXfs>
  <cellStyles count="1">
    <cellStyle xfId="0" name="Normal" builtinId="0"/>
  </cellStyles>
  <dxfs count="18">
    <dxf>
      <font/>
      <fill>
        <patternFill patternType="none"/>
      </fill>
      <border/>
    </dxf>
    <dxf>
      <font/>
      <fill>
        <patternFill patternType="solid">
          <fgColor rgb="FFE61C25"/>
          <bgColor rgb="FFE61C25"/>
        </patternFill>
      </fill>
      <border/>
    </dxf>
    <dxf>
      <font/>
      <fill>
        <patternFill patternType="solid">
          <fgColor rgb="FFFC7400"/>
          <bgColor rgb="FFFC7400"/>
        </patternFill>
      </fill>
      <border/>
    </dxf>
    <dxf>
      <font/>
      <fill>
        <patternFill patternType="solid">
          <fgColor rgb="FFEEF009"/>
          <bgColor rgb="FFEEF009"/>
        </patternFill>
      </fill>
      <border/>
    </dxf>
    <dxf>
      <font/>
      <fill>
        <patternFill patternType="solid">
          <fgColor rgb="FF98EE0E"/>
          <bgColor rgb="FF98EE0E"/>
        </patternFill>
      </fill>
      <border/>
    </dxf>
    <dxf>
      <font/>
      <fill>
        <patternFill patternType="solid">
          <fgColor rgb="FF11AC0C"/>
          <bgColor rgb="FF11AC0C"/>
        </patternFill>
      </fill>
      <border/>
    </dxf>
    <dxf>
      <font/>
      <fill>
        <patternFill patternType="solid">
          <fgColor rgb="FFE6E6E6"/>
          <bgColor rgb="FFE6E6E6"/>
        </patternFill>
      </fill>
      <border/>
    </dxf>
    <dxf>
      <font/>
      <fill>
        <patternFill patternType="solid">
          <fgColor rgb="FF4FA6D5"/>
          <bgColor rgb="FF4FA6D5"/>
        </patternFill>
      </fill>
      <border/>
    </dxf>
    <dxf>
      <font/>
      <fill>
        <patternFill patternType="solid">
          <fgColor rgb="FFFFE5A0"/>
          <bgColor rgb="FFFFE5A0"/>
        </patternFill>
      </fill>
      <border/>
    </dxf>
    <dxf>
      <font/>
      <fill>
        <patternFill patternType="solid">
          <fgColor rgb="FFFF3535"/>
          <bgColor rgb="FFFF3535"/>
        </patternFill>
      </fill>
      <border/>
    </dxf>
    <dxf>
      <font/>
      <fill>
        <patternFill patternType="solid">
          <fgColor rgb="FF999999"/>
          <bgColor rgb="FF999999"/>
        </patternFill>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
      <font/>
      <fill>
        <patternFill patternType="none"/>
      </fill>
      <border/>
    </dxf>
  </dxfs>
  <tableStyles count="1">
    <tableStyle count="12" table="0" name="Google Sheets Pivot Table Style">
      <tableStyleElement dxfId="12" type="wholeTable"/>
      <tableStyleElement dxfId="13" type="firstRowSubheading"/>
      <tableStyleElement dxfId="13" type="secondRowSubheading"/>
      <tableStyleElement dxfId="13" type="thirdRowSubheading"/>
      <tableStyleElement dxfId="14" type="firstColumnSubheading"/>
      <tableStyleElement dxfId="14" type="secondColumnSubheading"/>
      <tableStyleElement dxfId="14" type="thirdColumnSubheading"/>
      <tableStyleElement dxfId="14" type="headerRow"/>
      <tableStyleElement dxfId="15" type="firstSubtotalRow"/>
      <tableStyleElement dxfId="15" type="secondSubtotalRow"/>
      <tableStyleElement dxfId="15" type="thirdSubtotalRow"/>
      <tableStyleElement dxfId="1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1.xml"/><Relationship Id="rId14" Type="http://schemas.openxmlformats.org/officeDocument/2006/relationships/worksheet" Target="worksheets/sheet10.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1F1F1F"/>
                </a:solidFill>
                <a:latin typeface="Arial"/>
              </a:defRPr>
            </a:pPr>
            <a:r>
              <a:rPr b="1" i="0">
                <a:solidFill>
                  <a:srgbClr val="1F1F1F"/>
                </a:solidFill>
                <a:latin typeface="Arial"/>
              </a:rPr>
              <a:t>Répartition des niveaux de maturité</a:t>
            </a:r>
          </a:p>
        </c:rich>
      </c:tx>
      <c:layout>
        <c:manualLayout>
          <c:xMode val="edge"/>
          <c:yMode val="edge"/>
          <c:x val="0.32498248686514886"/>
          <c:y val="0.046465638148667596"/>
        </c:manualLayout>
      </c:layout>
      <c:overlay val="0"/>
    </c:title>
    <c:view3D>
      <c:rotX val="15"/>
      <c:rotY val="20"/>
      <c:depthPercent val="100"/>
      <c:rAngAx val="1"/>
    </c:view3D>
    <c:plotArea>
      <c:layout/>
      <c:bar3DChart>
        <c:barDir val="col"/>
        <c:grouping val="clustered"/>
        <c:ser>
          <c:idx val="0"/>
          <c:order val="0"/>
          <c:tx>
            <c:strRef>
              <c:f>'Guide dhygiène informatique ANS'!$B$327</c:f>
            </c:strRef>
          </c:tx>
          <c:spPr>
            <a:solidFill>
              <a:schemeClr val="accent1"/>
            </a:solidFill>
            <a:ln cmpd="sng">
              <a:noFill/>
              <a:prstDash val="solid"/>
            </a:ln>
          </c:spPr>
          <c:dPt>
            <c:idx val="0"/>
            <c:spPr>
              <a:solidFill>
                <a:schemeClr val="accent2"/>
              </a:solidFill>
              <a:ln cmpd="sng">
                <a:noFill/>
              </a:ln>
            </c:spPr>
          </c:dPt>
          <c:dPt>
            <c:idx val="1"/>
            <c:spPr>
              <a:solidFill>
                <a:schemeClr val="accent5"/>
              </a:solidFill>
              <a:ln cmpd="sng">
                <a:noFill/>
              </a:ln>
            </c:spPr>
          </c:dPt>
          <c:dPt>
            <c:idx val="2"/>
            <c:spPr>
              <a:solidFill>
                <a:srgbClr val="FFFF00"/>
              </a:solidFill>
              <a:ln cmpd="sng">
                <a:noFill/>
              </a:ln>
            </c:spPr>
          </c:dPt>
          <c:dPt>
            <c:idx val="3"/>
            <c:spPr>
              <a:solidFill>
                <a:srgbClr val="00FF00"/>
              </a:solidFill>
              <a:ln cmpd="sng">
                <a:noFill/>
              </a:ln>
            </c:spPr>
          </c:dPt>
          <c:dPt>
            <c:idx val="4"/>
            <c:spPr>
              <a:solidFill>
                <a:schemeClr val="accent4"/>
              </a:solidFill>
              <a:ln cmpd="sng">
                <a:noFill/>
              </a:ln>
            </c:spPr>
          </c:dPt>
          <c:dPt>
            <c:idx val="5"/>
            <c:spPr>
              <a:solidFill>
                <a:srgbClr val="999999"/>
              </a:solidFill>
              <a:ln cmpd="sng">
                <a:noFill/>
              </a:ln>
            </c:spPr>
          </c:dPt>
          <c:cat>
            <c:strRef>
              <c:f>'Guide dhygiène informatique ANS'!$A$328:$A$333</c:f>
            </c:strRef>
          </c:cat>
          <c:val>
            <c:numRef>
              <c:f>'Guide dhygiène informatique ANS'!$B$328:$B$333</c:f>
              <c:numCache/>
            </c:numRef>
          </c:val>
        </c:ser>
        <c:axId val="94126112"/>
        <c:axId val="692436425"/>
      </c:bar3DChart>
      <c:catAx>
        <c:axId val="94126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Niveau</a:t>
                </a:r>
              </a:p>
            </c:rich>
          </c:tx>
          <c:overlay val="0"/>
        </c:title>
        <c:numFmt formatCode="General" sourceLinked="1"/>
        <c:majorTickMark val="none"/>
        <c:minorTickMark val="none"/>
        <c:spPr>
          <a:ln>
            <a:noFill/>
          </a:ln>
        </c:spPr>
        <c:txPr>
          <a:bodyPr/>
          <a:lstStyle/>
          <a:p>
            <a:pPr lvl="0">
              <a:defRPr b="1" sz="1400">
                <a:solidFill>
                  <a:srgbClr val="000000"/>
                </a:solidFill>
                <a:latin typeface="Arial"/>
              </a:defRPr>
            </a:pPr>
          </a:p>
        </c:txPr>
        <c:crossAx val="692436425"/>
      </c:catAx>
      <c:valAx>
        <c:axId val="692436425"/>
        <c:scaling>
          <c:orientation val="minMax"/>
          <c:max val="15.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Nombre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126112"/>
      </c:valAx>
    </c:plotArea>
    <c:legend>
      <c:legendPos val="r"/>
      <c:overlay val="0"/>
      <c:txPr>
        <a:bodyPr/>
        <a:lstStyle/>
        <a:p>
          <a:pPr lvl="0">
            <a:defRPr b="0">
              <a:solidFill>
                <a:srgbClr val="1A1A1A"/>
              </a:solidFill>
              <a:latin typeface="Arial"/>
            </a:defRPr>
          </a:pPr>
        </a:p>
      </c:txPr>
    </c:legend>
    <c:plotVisOnly val="1"/>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Maturité SSI par chapitres</a:t>
            </a:r>
          </a:p>
        </c:rich>
      </c:tx>
      <c:overlay val="0"/>
    </c:title>
    <c:plotArea>
      <c:layout/>
      <c:radarChart>
        <c:radarStyle val="marker"/>
        <c:ser>
          <c:idx val="0"/>
          <c:order val="0"/>
          <c:tx>
            <c:strRef>
              <c:f>'Guide dhygiène informatique ANS'!$F$139</c:f>
            </c:strRef>
          </c:tx>
          <c:spPr>
            <a:ln cmpd="sng">
              <a:solidFill>
                <a:srgbClr val="FF3535">
                  <a:alpha val="100000"/>
                </a:srgbClr>
              </a:solidFill>
              <a:prstDash val="solid"/>
            </a:ln>
          </c:spPr>
          <c:marker>
            <c:symbol val="none"/>
          </c:marker>
          <c:cat>
            <c:strRef>
              <c:f>'Guide dhygiène informatique ANS'!$E$140:$E$149</c:f>
            </c:strRef>
          </c:cat>
          <c:val>
            <c:numRef>
              <c:f>'Guide dhygiène informatique ANS'!$F$140:$F$149</c:f>
              <c:numCache/>
            </c:numRef>
          </c:val>
          <c:smooth val="1"/>
        </c:ser>
        <c:axId val="1629970972"/>
        <c:axId val="1942643026"/>
      </c:radarChart>
      <c:catAx>
        <c:axId val="16299709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2643026"/>
      </c:catAx>
      <c:valAx>
        <c:axId val="19426430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9970972"/>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1F1F1F"/>
                </a:solidFill>
                <a:latin typeface="+mn-lt"/>
              </a:defRPr>
            </a:pPr>
            <a:r>
              <a:rPr b="1" i="0">
                <a:solidFill>
                  <a:srgbClr val="1F1F1F"/>
                </a:solidFill>
                <a:latin typeface="+mn-lt"/>
              </a:rPr>
              <a:t>Taux d’atteinte du niveau de maturité maximal par chapitre</a:t>
            </a:r>
          </a:p>
        </c:rich>
      </c:tx>
      <c:overlay val="0"/>
    </c:title>
    <c:plotArea>
      <c:layout/>
      <c:barChart>
        <c:barDir val="col"/>
        <c:grouping val="stacked"/>
        <c:ser>
          <c:idx val="0"/>
          <c:order val="0"/>
          <c:tx>
            <c:v>Score actuel</c:v>
          </c:tx>
          <c:spPr>
            <a:solidFill>
              <a:schemeClr val="accent1"/>
            </a:solidFill>
            <a:ln cmpd="sng">
              <a:noFill/>
            </a:ln>
          </c:spPr>
          <c:cat>
            <c:strRef>
              <c:f>'Guide dhygiène informatique ANS'!$E$156:$E$165</c:f>
            </c:strRef>
          </c:cat>
          <c:val>
            <c:numRef>
              <c:f>'Guide dhygiène informatique ANS'!$F$156:$F$165</c:f>
              <c:numCache/>
            </c:numRef>
          </c:val>
        </c:ser>
        <c:ser>
          <c:idx val="1"/>
          <c:order val="1"/>
          <c:tx>
            <c:v>Score maximum</c:v>
          </c:tx>
          <c:spPr>
            <a:solidFill>
              <a:schemeClr val="accent2"/>
            </a:solidFill>
            <a:ln cmpd="sng">
              <a:noFill/>
            </a:ln>
          </c:spPr>
          <c:cat>
            <c:strRef>
              <c:f>'Guide dhygiène informatique ANS'!$E$156:$E$165</c:f>
            </c:strRef>
          </c:cat>
          <c:val>
            <c:numRef>
              <c:f>'Guide dhygiène informatique ANS'!$H$156:$H$165</c:f>
              <c:numCache/>
            </c:numRef>
          </c:val>
        </c:ser>
        <c:overlap val="100"/>
        <c:axId val="2112986226"/>
        <c:axId val="433207919"/>
      </c:barChart>
      <c:catAx>
        <c:axId val="21129862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Chapitres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33207919"/>
      </c:catAx>
      <c:valAx>
        <c:axId val="433207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12986226"/>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Répartition des niveaux de maturité</a:t>
            </a:r>
          </a:p>
        </c:rich>
      </c:tx>
      <c:overlay val="0"/>
    </c:title>
    <c:view3D>
      <c:rotX val="15"/>
      <c:rotY val="20"/>
      <c:depthPercent val="100"/>
      <c:rAngAx val="1"/>
    </c:view3D>
    <c:plotArea>
      <c:layout/>
      <c:bar3DChart>
        <c:barDir val="col"/>
        <c:grouping val="clustered"/>
        <c:ser>
          <c:idx val="0"/>
          <c:order val="0"/>
          <c:tx>
            <c:strRef>
              <c:f>'Dashboard Dora'!$H$1</c:f>
            </c:strRef>
          </c:tx>
          <c:spPr>
            <a:solidFill>
              <a:srgbClr val="999999"/>
            </a:solidFill>
            <a:ln cmpd="sng">
              <a:noFill/>
            </a:ln>
          </c:spPr>
          <c:dPt>
            <c:idx val="0"/>
            <c:spPr>
              <a:solidFill>
                <a:srgbClr val="FF0000"/>
              </a:solidFill>
              <a:ln cmpd="sng">
                <a:noFill/>
              </a:ln>
            </c:spPr>
          </c:dPt>
          <c:dPt>
            <c:idx val="1"/>
            <c:spPr>
              <a:solidFill>
                <a:srgbClr val="FF9900"/>
              </a:solidFill>
              <a:ln cmpd="sng">
                <a:noFill/>
              </a:ln>
            </c:spPr>
          </c:dPt>
          <c:dPt>
            <c:idx val="2"/>
            <c:spPr>
              <a:solidFill>
                <a:srgbClr val="FFFF00"/>
              </a:solidFill>
              <a:ln cmpd="sng">
                <a:noFill/>
              </a:ln>
            </c:spPr>
          </c:dPt>
          <c:dPt>
            <c:idx val="3"/>
            <c:spPr>
              <a:solidFill>
                <a:srgbClr val="00FF00"/>
              </a:solidFill>
              <a:ln cmpd="sng">
                <a:noFill/>
              </a:ln>
            </c:spPr>
          </c:dPt>
          <c:dPt>
            <c:idx val="4"/>
            <c:spPr>
              <a:solidFill>
                <a:schemeClr val="accent4"/>
              </a:solidFill>
              <a:ln cmpd="sng">
                <a:noFill/>
              </a:ln>
            </c:spPr>
          </c:dPt>
          <c:dPt>
            <c:idx val="5"/>
          </c:dPt>
          <c:cat>
            <c:strRef>
              <c:f>'Dashboard Dora'!$G$2:$G$7</c:f>
            </c:strRef>
          </c:cat>
          <c:val>
            <c:numRef>
              <c:f>'Dashboard Dora'!$H$2:$H$7</c:f>
              <c:numCache/>
            </c:numRef>
          </c:val>
        </c:ser>
        <c:axId val="369977695"/>
        <c:axId val="1571517211"/>
      </c:bar3DChart>
      <c:catAx>
        <c:axId val="3699776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Niveau de maturité</a:t>
                </a:r>
              </a:p>
            </c:rich>
          </c:tx>
          <c:overlay val="0"/>
        </c:title>
        <c:numFmt formatCode="General" sourceLinked="1"/>
        <c:majorTickMark val="none"/>
        <c:minorTickMark val="none"/>
        <c:spPr>
          <a:ln>
            <a:noFill/>
          </a:ln>
        </c:spPr>
        <c:txPr>
          <a:bodyPr/>
          <a:lstStyle/>
          <a:p>
            <a:pPr lvl="0">
              <a:defRPr b="0" sz="1600">
                <a:solidFill>
                  <a:srgbClr val="000000"/>
                </a:solidFill>
                <a:latin typeface="+mn-lt"/>
              </a:defRPr>
            </a:pPr>
          </a:p>
        </c:txPr>
        <c:crossAx val="1571517211"/>
      </c:catAx>
      <c:valAx>
        <c:axId val="1571517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Nombre</a:t>
                </a:r>
              </a:p>
            </c:rich>
          </c:tx>
          <c:overlay val="0"/>
        </c:title>
        <c:numFmt formatCode="General" sourceLinked="1"/>
        <c:majorTickMark val="none"/>
        <c:minorTickMark val="none"/>
        <c:tickLblPos val="nextTo"/>
        <c:spPr>
          <a:ln>
            <a:noFill/>
          </a:ln>
        </c:spPr>
        <c:txPr>
          <a:bodyPr/>
          <a:lstStyle/>
          <a:p>
            <a:pPr lvl="0">
              <a:defRPr b="0" sz="1400">
                <a:solidFill>
                  <a:srgbClr val="000000"/>
                </a:solidFill>
                <a:latin typeface="+mn-lt"/>
              </a:defRPr>
            </a:pPr>
          </a:p>
        </c:txPr>
        <c:crossAx val="369977695"/>
      </c:valAx>
    </c:plotArea>
    <c:legend>
      <c:legendPos val="r"/>
      <c:overlay val="0"/>
      <c:txPr>
        <a:bodyPr/>
        <a:lstStyle/>
        <a:p>
          <a:pPr lvl="0">
            <a:defRPr b="0" sz="1000">
              <a:solidFill>
                <a:srgbClr val="1A1A1A"/>
              </a:solidFill>
              <a:latin typeface="+mn-lt"/>
            </a:defRPr>
          </a:pPr>
        </a:p>
      </c:txPr>
    </c:legend>
    <c:plotVisOnly val="1"/>
  </c:chart>
  <c:spPr>
    <a:solidFill>
      <a:srgbClr val="CCCC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Nombre d'exigences par Domaine</a:t>
            </a:r>
          </a:p>
        </c:rich>
      </c:tx>
      <c:overlay val="0"/>
    </c:title>
    <c:plotArea>
      <c:layout/>
      <c:barChart>
        <c:barDir val="bar"/>
        <c:ser>
          <c:idx val="0"/>
          <c:order val="0"/>
          <c:tx>
            <c:strRef>
              <c:f>'Dashboard Dora'!$B$25</c:f>
            </c:strRef>
          </c:tx>
          <c:spPr>
            <a:solidFill>
              <a:schemeClr val="accent1"/>
            </a:solidFill>
            <a:ln cmpd="sng">
              <a:noFill/>
            </a:ln>
          </c:spPr>
          <c:cat>
            <c:strRef>
              <c:f>'Dashboard Dora'!$A$26:$A$31</c:f>
            </c:strRef>
          </c:cat>
          <c:val>
            <c:numRef>
              <c:f>'Dashboard Dora'!$B$26:$B$31</c:f>
              <c:numCache/>
            </c:numRef>
          </c:val>
        </c:ser>
        <c:axId val="679902513"/>
        <c:axId val="645111095"/>
      </c:barChart>
      <c:catAx>
        <c:axId val="67990251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Domaine</a:t>
                </a:r>
              </a:p>
            </c:rich>
          </c:tx>
          <c:overlay val="0"/>
        </c:title>
        <c:numFmt formatCode="General" sourceLinked="1"/>
        <c:majorTickMark val="none"/>
        <c:minorTickMark val="none"/>
        <c:spPr>
          <a:ln>
            <a:noFill/>
          </a:ln>
        </c:spPr>
        <c:txPr>
          <a:bodyPr/>
          <a:lstStyle/>
          <a:p>
            <a:pPr lvl="0">
              <a:defRPr b="1" sz="1400">
                <a:solidFill>
                  <a:srgbClr val="000000"/>
                </a:solidFill>
                <a:latin typeface="+mn-lt"/>
              </a:defRPr>
            </a:pPr>
          </a:p>
        </c:txPr>
        <c:crossAx val="645111095"/>
      </c:catAx>
      <c:valAx>
        <c:axId val="6451110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Nombre d'exigences</a:t>
                </a:r>
              </a:p>
            </c:rich>
          </c:tx>
          <c:overlay val="0"/>
        </c:title>
        <c:numFmt formatCode="General" sourceLinked="1"/>
        <c:majorTickMark val="none"/>
        <c:minorTickMark val="none"/>
        <c:tickLblPos val="nextTo"/>
        <c:spPr>
          <a:ln>
            <a:noFill/>
          </a:ln>
        </c:spPr>
        <c:txPr>
          <a:bodyPr/>
          <a:lstStyle/>
          <a:p>
            <a:pPr lvl="0">
              <a:defRPr b="0" sz="1400">
                <a:solidFill>
                  <a:srgbClr val="000000"/>
                </a:solidFill>
                <a:latin typeface="+mn-lt"/>
              </a:defRPr>
            </a:pPr>
          </a:p>
        </c:txPr>
        <c:crossAx val="679902513"/>
        <c:crosses val="max"/>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Pourcentage des différents niveaux de maturité</a:t>
            </a:r>
          </a:p>
        </c:rich>
      </c:tx>
      <c:overlay val="0"/>
    </c:title>
    <c:view3D>
      <c:rotX val="50"/>
      <c:perspective val="0"/>
    </c:view3D>
    <c:plotArea>
      <c:layout/>
      <c:pie3DChart>
        <c:varyColors val="1"/>
        <c:ser>
          <c:idx val="0"/>
          <c:order val="0"/>
          <c:tx>
            <c:strRef>
              <c:f>'Dashboard NIS2'!$B$1</c:f>
            </c:strRef>
          </c:tx>
          <c:dPt>
            <c:idx val="0"/>
            <c:spPr>
              <a:solidFill>
                <a:srgbClr val="FF3535"/>
              </a:solidFill>
            </c:spPr>
          </c:dPt>
          <c:dPt>
            <c:idx val="1"/>
            <c:spPr>
              <a:solidFill>
                <a:srgbClr val="FC7400"/>
              </a:solidFill>
            </c:spPr>
          </c:dPt>
          <c:dPt>
            <c:idx val="2"/>
            <c:spPr>
              <a:solidFill>
                <a:srgbClr val="EEF009"/>
              </a:solidFill>
            </c:spPr>
          </c:dPt>
          <c:dPt>
            <c:idx val="3"/>
            <c:spPr>
              <a:solidFill>
                <a:srgbClr val="98EE0E"/>
              </a:solidFill>
            </c:spPr>
          </c:dPt>
          <c:dPt>
            <c:idx val="4"/>
            <c:spPr>
              <a:solidFill>
                <a:srgbClr val="11AC0C"/>
              </a:solidFill>
            </c:spPr>
          </c:dPt>
          <c:dPt>
            <c:idx val="5"/>
            <c:spPr>
              <a:solidFill>
                <a:srgbClr val="E6E6E6"/>
              </a:solidFill>
            </c:spPr>
          </c:dPt>
          <c:dLbls>
            <c:showLegendKey val="0"/>
            <c:showVal val="0"/>
            <c:showCatName val="0"/>
            <c:showSerName val="0"/>
            <c:showPercent val="0"/>
            <c:showBubbleSize val="0"/>
            <c:showLeaderLines val="1"/>
          </c:dLbls>
          <c:cat>
            <c:strRef>
              <c:f>'Dashboard NIS2'!$A$2:$A$7</c:f>
            </c:strRef>
          </c:cat>
          <c:val>
            <c:numRef>
              <c:f>'Dashboard NIS2'!$B$2:$B$7</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Répartition des niveaux de maturité</a:t>
            </a:r>
          </a:p>
        </c:rich>
      </c:tx>
      <c:overlay val="0"/>
    </c:title>
    <c:view3D>
      <c:rotX val="15"/>
      <c:rotY val="20"/>
      <c:depthPercent val="100"/>
      <c:rAngAx val="1"/>
    </c:view3D>
    <c:plotArea>
      <c:layout/>
      <c:bar3DChart>
        <c:barDir val="col"/>
        <c:grouping val="clustered"/>
        <c:ser>
          <c:idx val="0"/>
          <c:order val="0"/>
          <c:tx>
            <c:strRef>
              <c:f>'Dashboard NIS2'!$B$1</c:f>
            </c:strRef>
          </c:tx>
          <c:spPr>
            <a:solidFill>
              <a:schemeClr val="accent1"/>
            </a:solidFill>
            <a:ln cmpd="sng">
              <a:noFill/>
            </a:ln>
          </c:spPr>
          <c:dPt>
            <c:idx val="0"/>
            <c:spPr>
              <a:solidFill>
                <a:srgbClr val="E61C25"/>
              </a:solidFill>
              <a:ln cmpd="sng">
                <a:noFill/>
              </a:ln>
            </c:spPr>
          </c:dPt>
          <c:dPt>
            <c:idx val="1"/>
            <c:spPr>
              <a:solidFill>
                <a:srgbClr val="FC7400"/>
              </a:solidFill>
              <a:ln cmpd="sng">
                <a:noFill/>
              </a:ln>
            </c:spPr>
          </c:dPt>
          <c:dPt>
            <c:idx val="2"/>
            <c:spPr>
              <a:solidFill>
                <a:srgbClr val="EEF009"/>
              </a:solidFill>
              <a:ln cmpd="sng">
                <a:noFill/>
              </a:ln>
            </c:spPr>
          </c:dPt>
          <c:dPt>
            <c:idx val="3"/>
            <c:spPr>
              <a:solidFill>
                <a:srgbClr val="98EE0E"/>
              </a:solidFill>
              <a:ln cmpd="sng">
                <a:noFill/>
              </a:ln>
            </c:spPr>
          </c:dPt>
          <c:dPt>
            <c:idx val="4"/>
            <c:spPr>
              <a:solidFill>
                <a:srgbClr val="11AC0C"/>
              </a:solidFill>
              <a:ln cmpd="sng">
                <a:noFill/>
              </a:ln>
            </c:spPr>
          </c:dPt>
          <c:dPt>
            <c:idx val="5"/>
            <c:spPr>
              <a:solidFill>
                <a:srgbClr val="E6E6E6"/>
              </a:solidFill>
              <a:ln cmpd="sng">
                <a:noFill/>
              </a:ln>
            </c:spPr>
          </c:dPt>
          <c:cat>
            <c:strRef>
              <c:f>'Dashboard NIS2'!$A$2:$A$7</c:f>
            </c:strRef>
          </c:cat>
          <c:val>
            <c:numRef>
              <c:f>'Dashboard NIS2'!$B$2:$B$7</c:f>
              <c:numCache/>
            </c:numRef>
          </c:val>
        </c:ser>
        <c:axId val="1337511228"/>
        <c:axId val="1429266480"/>
      </c:bar3DChart>
      <c:catAx>
        <c:axId val="1337511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Niveau</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29266480"/>
      </c:catAx>
      <c:valAx>
        <c:axId val="14292664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Nombre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37511228"/>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Groupe (IG), IG1/2/3, IG2/3, IG3 et Total général</a:t>
            </a:r>
          </a:p>
        </c:rich>
      </c:tx>
      <c:overlay val="0"/>
    </c:title>
    <c:plotArea>
      <c:layout/>
      <c:barChart>
        <c:barDir val="col"/>
        <c:ser>
          <c:idx val="0"/>
          <c:order val="0"/>
          <c:tx>
            <c:strRef>
              <c:f>'TCD CIS Controls'!$N$2</c:f>
            </c:strRef>
          </c:tx>
          <c:spPr>
            <a:solidFill>
              <a:srgbClr val="E61C25"/>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Controls'!$N$3:$N$5</c:f>
              <c:numCache/>
            </c:numRef>
          </c:val>
        </c:ser>
        <c:ser>
          <c:idx val="1"/>
          <c:order val="1"/>
          <c:tx>
            <c:strRef>
              <c:f>'TCD CIS Controls'!$O$2</c:f>
            </c:strRef>
          </c:tx>
          <c:spPr>
            <a:solidFill>
              <a:srgbClr val="FC7400"/>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Controls'!$O$3:$O$5</c:f>
              <c:numCache/>
            </c:numRef>
          </c:val>
        </c:ser>
        <c:ser>
          <c:idx val="2"/>
          <c:order val="2"/>
          <c:tx>
            <c:strRef>
              <c:f>'TCD CIS Controls'!$P$2</c:f>
            </c:strRef>
          </c:tx>
          <c:spPr>
            <a:solidFill>
              <a:srgbClr val="EEF009"/>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Controls'!$P$3:$P$5</c:f>
              <c:numCache/>
            </c:numRef>
          </c:val>
        </c:ser>
        <c:ser>
          <c:idx val="3"/>
          <c:order val="3"/>
          <c:tx>
            <c:strRef>
              <c:f>'TCD CIS Controls'!$Q$2</c:f>
            </c:strRef>
          </c:tx>
          <c:spPr>
            <a:solidFill>
              <a:srgbClr val="98EE0E"/>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Controls'!$Q$3:$Q$5</c:f>
              <c:numCache/>
            </c:numRef>
          </c:val>
        </c:ser>
        <c:ser>
          <c:idx val="4"/>
          <c:order val="4"/>
          <c:tx>
            <c:strRef>
              <c:f>'TCD CIS Controls'!$R$2</c:f>
            </c:strRef>
          </c:tx>
          <c:spPr>
            <a:solidFill>
              <a:srgbClr val="11AC0C"/>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Controls'!$R$3:$R$5</c:f>
              <c:numCache/>
            </c:numRef>
          </c:val>
        </c:ser>
        <c:ser>
          <c:idx val="5"/>
          <c:order val="5"/>
          <c:tx>
            <c:strRef>
              <c:f>'TCD CIS Controls'!$S$2</c:f>
            </c:strRef>
          </c:tx>
          <c:spPr>
            <a:solidFill>
              <a:srgbClr val="E6E6E6"/>
            </a:solidFill>
            <a:ln cmpd="sng">
              <a:noFill/>
            </a:ln>
          </c:spPr>
          <c:dLbls>
            <c:numFmt formatCode="General" sourceLinked="1"/>
            <c:txPr>
              <a:bodyPr/>
              <a:lstStyle/>
              <a:p>
                <a:pPr lvl="0">
                  <a:defRPr/>
                </a:pPr>
              </a:p>
            </c:txPr>
            <c:showLegendKey val="0"/>
            <c:showVal val="1"/>
            <c:showCatName val="0"/>
            <c:showSerName val="0"/>
            <c:showPercent val="0"/>
            <c:showBubbleSize val="0"/>
          </c:dLbls>
          <c:cat>
            <c:strRef>
              <c:f>'TCD CIS Controls'!$M$3:$M$5</c:f>
            </c:strRef>
          </c:cat>
          <c:val>
            <c:numRef>
              <c:f>'TCD CIS Controls'!$S$3:$S$5</c:f>
              <c:numCache/>
            </c:numRef>
          </c:val>
        </c:ser>
        <c:axId val="1099448107"/>
        <c:axId val="963538569"/>
      </c:barChart>
      <c:catAx>
        <c:axId val="10994481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3538569"/>
      </c:catAx>
      <c:valAx>
        <c:axId val="963538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944810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1F1F1F"/>
                </a:solidFill>
                <a:latin typeface="+mn-lt"/>
              </a:defRPr>
            </a:pPr>
            <a:r>
              <a:rPr b="1" sz="2400">
                <a:solidFill>
                  <a:srgbClr val="1F1F1F"/>
                </a:solidFill>
                <a:latin typeface="+mn-lt"/>
              </a:rPr>
              <a:t>Pourcentage des différents niveaux de maturité</a:t>
            </a:r>
          </a:p>
        </c:rich>
      </c:tx>
      <c:overlay val="0"/>
    </c:title>
    <c:plotArea>
      <c:layout/>
      <c:doughnutChart>
        <c:varyColors val="1"/>
        <c:ser>
          <c:idx val="0"/>
          <c:order val="0"/>
          <c:tx>
            <c:strRef>
              <c:f>'Dashboard CIS Controls'!$B$1</c:f>
            </c:strRef>
          </c:tx>
          <c:dPt>
            <c:idx val="0"/>
            <c:spPr>
              <a:solidFill>
                <a:srgbClr val="E61C25"/>
              </a:solidFill>
            </c:spPr>
          </c:dPt>
          <c:dPt>
            <c:idx val="1"/>
            <c:spPr>
              <a:solidFill>
                <a:srgbClr val="FC7400"/>
              </a:solidFill>
            </c:spPr>
          </c:dPt>
          <c:dPt>
            <c:idx val="2"/>
            <c:spPr>
              <a:solidFill>
                <a:srgbClr val="EEF009"/>
              </a:solidFill>
            </c:spPr>
          </c:dPt>
          <c:dPt>
            <c:idx val="3"/>
            <c:spPr>
              <a:solidFill>
                <a:srgbClr val="98EE0E"/>
              </a:solidFill>
            </c:spPr>
          </c:dPt>
          <c:dPt>
            <c:idx val="4"/>
            <c:spPr>
              <a:solidFill>
                <a:srgbClr val="11AC0C"/>
              </a:solidFill>
            </c:spPr>
          </c:dPt>
          <c:dPt>
            <c:idx val="5"/>
            <c:spPr>
              <a:solidFill>
                <a:srgbClr val="E6E6E6"/>
              </a:solidFill>
            </c:spPr>
          </c:dPt>
          <c:dLbls>
            <c:showLegendKey val="0"/>
            <c:showVal val="0"/>
            <c:showCatName val="0"/>
            <c:showSerName val="0"/>
            <c:showPercent val="0"/>
            <c:showBubbleSize val="0"/>
            <c:showLeaderLines val="1"/>
          </c:dLbls>
          <c:cat>
            <c:strRef>
              <c:f>'Dashboard CIS Controls'!$A$2:$A$7</c:f>
            </c:strRef>
          </c:cat>
          <c:val>
            <c:numRef>
              <c:f>'Dashboard CIS Controls'!$B$2:$B$7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1F1F1F"/>
                </a:solidFill>
                <a:latin typeface="+mn-lt"/>
              </a:defRPr>
            </a:pPr>
            <a:r>
              <a:rPr b="1">
                <a:solidFill>
                  <a:srgbClr val="1F1F1F"/>
                </a:solidFill>
                <a:latin typeface="+mn-lt"/>
              </a:rPr>
              <a:t>Niveau de Maturité par Contrôle CIS</a:t>
            </a:r>
          </a:p>
        </c:rich>
      </c:tx>
      <c:overlay val="0"/>
    </c:title>
    <c:plotArea>
      <c:layout/>
      <c:radarChart>
        <c:radarStyle val="marker"/>
        <c:ser>
          <c:idx val="0"/>
          <c:order val="0"/>
          <c:tx>
            <c:strRef>
              <c:f>'Dashboard CIS Controls'!$B$21</c:f>
            </c:strRef>
          </c:tx>
          <c:spPr>
            <a:ln cmpd="sng">
              <a:solidFill>
                <a:srgbClr val="4285F4"/>
              </a:solidFill>
            </a:ln>
          </c:spPr>
          <c:marker>
            <c:symbol val="none"/>
          </c:marker>
          <c:cat>
            <c:strRef>
              <c:f>'Dashboard CIS Controls'!$A$22:$A$39</c:f>
            </c:strRef>
          </c:cat>
          <c:val>
            <c:numRef>
              <c:f>'Dashboard CIS Controls'!$B$22:$B$39</c:f>
              <c:numCache/>
            </c:numRef>
          </c:val>
          <c:smooth val="1"/>
        </c:ser>
        <c:axId val="1217351911"/>
        <c:axId val="2094855664"/>
      </c:radarChart>
      <c:catAx>
        <c:axId val="1217351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ID Contrôle CIS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4855664"/>
      </c:catAx>
      <c:valAx>
        <c:axId val="20948556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Niveau de maturité</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7351911"/>
      </c:valAx>
    </c:plotArea>
    <c:legend>
      <c:legendPos val="r"/>
      <c:overlay val="0"/>
      <c:txPr>
        <a:bodyPr/>
        <a:lstStyle/>
        <a:p>
          <a:pPr lvl="0">
            <a:defRPr b="0">
              <a:solidFill>
                <a:srgbClr val="1A1A1A"/>
              </a:solidFill>
              <a:latin typeface="+mn-lt"/>
            </a:defRPr>
          </a:pPr>
        </a:p>
      </c:txPr>
    </c:legend>
    <c:plotVisOnly val="1"/>
  </c:chart>
  <c:spPr>
    <a:solidFill>
      <a:srgbClr val="CCCCCC"/>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chart" Target="../charts/chart4.xml"/><Relationship Id="rId3"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image" Target="../media/Chart9.png"/><Relationship Id="rId2"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image" Target="../media/Chart13.png"/><Relationship Id="rId4" Type="http://schemas.openxmlformats.org/officeDocument/2006/relationships/image" Target="../media/Chart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562975" cy="52006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266700</xdr:colOff>
      <xdr:row>31</xdr:row>
      <xdr:rowOff>76200</xdr:rowOff>
    </xdr:from>
    <xdr:ext cx="8562975" cy="742950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85725</xdr:colOff>
      <xdr:row>0</xdr:row>
      <xdr:rowOff>0</xdr:rowOff>
    </xdr:from>
    <xdr:ext cx="7953375" cy="520065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038850" cy="3667125"/>
    <xdr:pic>
      <xdr:nvPicPr>
        <xdr:cNvPr id="1269760491" name="Chart4"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952500</xdr:colOff>
      <xdr:row>0</xdr:row>
      <xdr:rowOff>0</xdr:rowOff>
    </xdr:from>
    <xdr:ext cx="6400800" cy="3667125"/>
    <xdr:graphicFrame>
      <xdr:nvGraphicFramePr>
        <xdr:cNvPr id="5" name="Chart 5"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23</xdr:row>
      <xdr:rowOff>0</xdr:rowOff>
    </xdr:from>
    <xdr:ext cx="10353675" cy="4200525"/>
    <xdr:graphicFrame>
      <xdr:nvGraphicFramePr>
        <xdr:cNvPr id="6" name="Chart 6"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6076950" cy="3762375"/>
    <xdr:graphicFrame>
      <xdr:nvGraphicFramePr>
        <xdr:cNvPr id="7" name="Chart 7"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390525</xdr:colOff>
      <xdr:row>0</xdr:row>
      <xdr:rowOff>0</xdr:rowOff>
    </xdr:from>
    <xdr:ext cx="6076950" cy="3762375"/>
    <xdr:graphicFrame>
      <xdr:nvGraphicFramePr>
        <xdr:cNvPr id="8" name="Chart 8"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1209675</xdr:colOff>
      <xdr:row>21</xdr:row>
      <xdr:rowOff>76200</xdr:rowOff>
    </xdr:from>
    <xdr:ext cx="5715000" cy="3533775"/>
    <xdr:pic>
      <xdr:nvPicPr>
        <xdr:cNvPr id="1784319573" name="Chart9" title="Graphiqu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123825</xdr:colOff>
      <xdr:row>7</xdr:row>
      <xdr:rowOff>38100</xdr:rowOff>
    </xdr:from>
    <xdr:ext cx="5715000" cy="3533775"/>
    <xdr:graphicFrame>
      <xdr:nvGraphicFramePr>
        <xdr:cNvPr id="10" name="Chart 10"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2181225</xdr:colOff>
      <xdr:row>40</xdr:row>
      <xdr:rowOff>38100</xdr:rowOff>
    </xdr:from>
    <xdr:ext cx="2857500" cy="2857500"/>
    <mc:AlternateContent>
      <mc:Choice Requires="sle15">
        <xdr:graphicFrame>
          <xdr:nvGraphicFramePr>
            <xdr:cNvPr id="1" name="Contrôle CIS_1"/>
            <xdr:cNvGraphicFramePr/>
          </xdr:nvGraphicFramePr>
          <xdr:xfrm>
            <a:off x="0" y="0"/>
            <a:ext cx="0" cy="0"/>
          </xdr:xfrm>
          <a:graphic>
            <a:graphicData uri="http://schemas.microsoft.com/office/drawing/2010/slicer">
              <x3Unk:slicer name="Contrôle CIS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00" cy="3533775"/>
    <xdr:graphicFrame>
      <xdr:nvGraphicFramePr>
        <xdr:cNvPr id="11" name="Chart 1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24</xdr:row>
      <xdr:rowOff>0</xdr:rowOff>
    </xdr:from>
    <xdr:ext cx="5715000" cy="4219575"/>
    <xdr:graphicFrame>
      <xdr:nvGraphicFramePr>
        <xdr:cNvPr id="12" name="Chart 1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942975</xdr:colOff>
      <xdr:row>0</xdr:row>
      <xdr:rowOff>47625</xdr:rowOff>
    </xdr:from>
    <xdr:ext cx="11487150" cy="4591050"/>
    <xdr:pic>
      <xdr:nvPicPr>
        <xdr:cNvPr id="858534289" name="Chart13" title="Graphique">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952500</xdr:colOff>
      <xdr:row>24</xdr:row>
      <xdr:rowOff>0</xdr:rowOff>
    </xdr:from>
    <xdr:ext cx="6991350" cy="4324350"/>
    <xdr:pic>
      <xdr:nvPicPr>
        <xdr:cNvPr id="1571987457" name="Chart14" title="Graphique">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942975</xdr:colOff>
      <xdr:row>50</xdr:row>
      <xdr:rowOff>38100</xdr:rowOff>
    </xdr:from>
    <xdr:ext cx="2857500" cy="2857500"/>
    <mc:AlternateContent>
      <mc:Choice Requires="sle15">
        <xdr:graphicFrame>
          <xdr:nvGraphicFramePr>
            <xdr:cNvPr id="2" name="Contrôle CIS_2"/>
            <xdr:cNvGraphicFramePr/>
          </xdr:nvGraphicFramePr>
          <xdr:xfrm>
            <a:off x="0" y="0"/>
            <a:ext cx="0" cy="0"/>
          </xdr:xfrm>
          <a:graphic>
            <a:graphicData uri="http://schemas.microsoft.com/office/drawing/2010/slicer">
              <x3Unk:slicer name="Contrôle CI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34:C176" sheet="Guide dhygiène informatique ANS"/>
  </cacheSource>
  <cacheFields>
    <cacheField name="Chapitres" numFmtId="0">
      <sharedItems>
        <s v="SENSIBILISER ET FORMER"/>
        <s v="CONNAÎTRE LE SYSTÈME D’INFORMATION"/>
        <s v="AUTHENTIFIER ET CONTROLER LES ACCÈS"/>
        <s v="SÉCURISER LES POSTES"/>
        <s v="SÉCURISER LE RÉSEAU"/>
        <s v="SÉCURISER L’ADMINISTRATION"/>
        <s v="GÉRER LE NOMADISME"/>
        <s v="MAINTENIR LE SYSTÈME D’INFORMATION À JOUR"/>
        <s v="SUPERVISER, AUDITER, RÉAGIR"/>
        <s v="POUR ALLER PLUS LOIN"/>
      </sharedItems>
    </cacheField>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sharedItems>
    </cacheField>
    <cacheField name="Niveau ">
      <sharedItems containsMixedTypes="1" containsNumber="1" containsInteger="1">
        <n v="2.0"/>
        <n v="5.0"/>
        <n v="3.0"/>
        <s v=""/>
        <n v="1.0"/>
        <n v="4.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L34" sheet="DORA"/>
  </cacheSource>
  <cacheFields>
    <cacheField name="Domaine" numFmtId="0">
      <sharedItems containsBlank="1">
        <s v="I. GESTION DES RISQUES TIC"/>
        <m/>
        <s v="II. GESTION, CLASSIFICATION ET SIGNALEMENT DES INCIDENTS LIÉS AUX TIC"/>
        <s v="III. TESTS DE RÉSILIENCE OPÉRATIONNELLE NUMÉRIQUE"/>
        <s v="IV. GESTION DES RISQUES LIÉS AUX PRESTATAIRES TIERS DE SERVICES TIC"/>
        <s v="V. PARTAGE D'INFORMATIONS"/>
        <s v="VI. APPRENTISSAGE ET EVOLUTION"/>
      </sharedItems>
    </cacheField>
    <cacheField name="ID Contrôle"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sharedItems>
    </cacheField>
    <cacheField name="Exigence / contrôle" numFmtId="0">
      <sharedItems>
        <s v="Définir la responsabilité de la direction"/>
        <s v="Définir les rôles et responsabilités TIC"/>
        <s v="Mettre en place un cadre de gestion des risques TIC"/>
        <s v="Documenter les politiques, procédures et outils TIC"/>
        <s v="Réaliser des audits internes TIC"/>
        <s v="Définir une stratégie de résilience numérique"/>
        <s v="Identifier les actifs informationnels et TIC"/>
        <s v="Protéger les actifs TIC"/>
        <s v="Maintenir des systèmes TIC fiables et à jour"/>
        <s v="Détecter les anomalies et incidents TIC"/>
        <s v="Mettre en place une politique de continuité TIC"/>
        <s v="Définir des plans de réponse et de récupération"/>
        <s v="Définir des sauvegardes et restaurations"/>
        <s v="Mettre en place un processus de gestion des incidents TIC"/>
        <s v="Classifier les incidents selon leur gravité"/>
        <s v="Notifier les incidents TIC majeurs"/>
        <s v="Conserver une trace des incidents TIC"/>
        <s v="Prévoir une stratégie de communication en cas d’incident TIC"/>
        <s v="Réaliser des tests de résilience basiques"/>
        <s v="Réaliser des tests de pénétration fondés sur la menace (TLPT)"/>
        <s v="Corriger les faiblesses détectées lors des tests"/>
        <s v="Gérer les risques liés aux tiers TIC"/>
        <s v="Tenir un registre des contrats TIC"/>
        <s v="Évaluer les prestataires avant contrat"/>
        <s v="Définir les exigences contractuelles"/>
        <s v="Prévoir des droits d’audit et de contrôle"/>
        <s v="Prévoir une stratégie de sortie"/>
        <s v="Participer au partage d'informations sur les menaces"/>
        <s v="Réaliser des revues post-incident"/>
        <s v="Intégrer les leçons apprises"/>
        <s v="Former et sensibiliser le personnel"/>
        <s v="Suivre les évolutions technologiques et les cybermenaces"/>
      </sharedItems>
    </cacheField>
    <cacheField name="Description simple" numFmtId="0">
      <sharedItems>
        <s v="Impliquer activement la direction générale dans la sécurité de l'information, incluant la validation des budgets et l'endossement de la responsabilité des risques numériques."/>
        <s v="Définir clairement et formaliser les rôles et responsabilités de chaque collaborateur en matière de sécurité de l'information."/>
        <s v="Structurer la démarche de sécurité via un cadre de référence documentant l'identification, l'évaluation et le traitement des risques TIC."/>
        <s v="Documenter, valider par la direction et mettre à jour régulièrement l'ensemble des politiques et procédures de sécurité de l'information."/>
        <s v="Réaliser régulièrement des audits internes ou externes indépendants pour vérifier l'application des règles de sécurité et identifier les axes d'amélioration."/>
        <s v="Élaborer une stratégie de résilience numérique à long terme pour assurer la continuité des opérations en cas d'incident informatique majeur."/>
        <s v="Réaliser un inventaire exhaustif et évaluer la criticité des actifs matériels, logiciels et des données sensibles."/>
        <s v="Implémenter des mesures de protection techniques et organisationnelles (gestion des accès, mots de passe robustes, chiffrement) pour sécuriser les actifs."/>
        <s v="Maintenir en condition de sécurité les systèmes par l'application régulière et systématique des correctifs et mises à jour de sécurité."/>
        <s v="Déployer des solutions de détection pour identifier rapidement les activités suspectes ou malveillantes sur le réseau et les systèmes."/>
        <s v="Élaborer un plan de continuité d'activité (PCA) pour garantir le maintien des services essentiels en cas de défaillance majeure des systèmes TIC."/>
        <s v="Formaliser et tester régulièrement les plans de réponse aux incidents pour assurer une réaction efficace et coordonnée en cas de cyberattaque."/>
        <s v="Mettre en œuvre une politique de sauvegarde régulière et sécurisée, accompagnée de tests fréquents de restauration des données."/>
        <s v="Établir un processus formel pour le signalement, l'analyse, la résolution et la communication liés aux incidents informatiques."/>
        <s v="Définir une méthodologie de classification des incidents selon leur gravité afin d'adapter les mesures de réponse de manière proportionnée."/>
        <s v="L’organisation doit déclarer les incidents TIC majeurs aux autorités compétentes selon les modalités prévues."/>
        <s v="L’organisation doit documenter les incidents, leur gravité, leur traitement et les actions correctives mises en place."/>
        <s v="L’organisation doit savoir comment communiquer en cas d’incident TIC important, en interne et si nécessaire vers les autorités, clients ou parties concernées."/>
        <s v="Effectuer régulièrement des tests de vulnérabilité et des évaluations de la sécurité du réseau."/>
        <s v="Pour les entités critiques, réaliser des tests avancés simulant des attaques réelles (Red Teaming)."/>
        <s v="Après les tests, l’organisation doit analyser les résultats, corriger les vulnérabilités et suivre les actions de remédiation."/>
        <s v="Évaluer les risques avant de contracter avec un prestataire tiers et tenir un registre des accords."/>
        <s v="L’organisation doit maintenir un registre des contrats conclus avec les prestataires TIC."/>
        <s v="Avant de signer, l’organisation doit analyser la criticité du service, les risques associés et la capacité du prestataire à respecter les exigences de sécurité."/>
        <s v="S'assurer que les contrats avec les tiers incluent des clauses spécifiques de sécurité, d'audit et de résiliation."/>
        <s v="Les contrats doivent permettre à l’organisation de contrôler ou auditer le prestataire TIC lorsque nécessaire."/>
        <s v="L’organisation doit pouvoir changer de prestataire ou réinternaliser le service sans interruption majeure."/>
        <s v="Mettre en place des accords pour partager des renseignements sur les cybermenaces avec d'autres entités financières."/>
        <s v="Après un incident TIC majeur, l’organisation doit analyser les causes, vérifier si les procédures ont été suivies et identifier les améliorations nécessaires."/>
        <s v="Les incidents réels, les tests et les audits doivent servir à améliorer l’évaluation des risques TIC."/>
        <s v="Le personnel et la direction doivent être formés aux risques TIC et à la résilience numérique."/>
        <s v="L’organisation doit suivre les nouvelles menaces et technologies afin d’adapter son dispositif de sécurité."/>
      </sharedItems>
    </cacheField>
    <cacheField name="Description complète" numFmtId="0">
      <sharedItems>
        <s v="La direction doit porter la responsabilité finale de la gestion du risque TIC. Elle doit valider les politiques, approuver et revoir la stratégie de résilience numérique, les plans de continuité, les plans de réponse et de récupération, les audits TIC, le"/>
        <s v="Définir clairement les rôles et responsabilités liés aux fonctions TIC, à la sécurité, à la gestion des risques, au contrôle et à l’audit. L’organisation doit assurer une séparation suffisante entre les fonctions de gestion du risque TIC, les fonctions de"/>
        <s v="Mettre en place un cadre de gestion des risques TIC solide, complet et documenté, intégré au dispositif global de gestion des risques. Ce cadre doit permettre d’identifier, de protéger, de détecter, de répondre, de récupérer et de suivre les risques liés "/>
        <s v="Documenter les stratégies, politiques, procédures, protocoles et outils TIC nécessaires à la gestion du risque TIC. Cette documentation doit être tenue à jour, revue régulièrement et permettre de démontrer la manière dont l’organisation protège ses actifs"/>
        <s v="Soumettre régulièrement le cadre de gestion des risques TIC à des audits internes réalisés par des personnes disposant de compétences suffisantes en risque TIC et d’une indépendance appropriée. Les constats d’audit doivent donner lieu à un suivi formalisé"/>
        <s v="Définir une stratégie de résilience opérationnelle numérique expliquant comment le cadre de gestion du risque TIC soutient les objectifs de l’organisation. Cette stratégie doit préciser la tolérance au risque TIC, les objectifs de sécurité, les mécanismes"/>
        <s v="Identifier, classer et documenter les actifs informationnels et TIC nécessaires aux activités de l’organisation. Cela comprend notamment les données, logiciels, matériels, serveurs, infrastructures, locaux sensibles, services critiques, dépendances intern"/>
        <s v="Protéger les actifs informationnels et TIC contre les risques, notamment les dommages, les accès non autorisés, les usages abusifs, les pertes d’intégrité, d’authenticité, de confidentialité ou de disponibilité. Les mesures doivent couvrir les accès, les "/>
        <s v="Utiliser et maintenir des systèmes, protocoles et outils TIC fiables, adaptés à l’activité, suffisamment résilients et régulièrement mis à jour. Les systèmes doivent permettre d’assurer la sécurité, la continuité des services, la disponibilité, l’intégrit"/>
        <s v="Mettre en place des mécanismes permettant d’identifier rapidement les sources de risque TIC, les anomalies, les activités suspectes, les incidents et les points de défaillance. Ces mécanismes doivent permettre une détection rapide et un traitement efficac"/>
        <s v="Établir une politique de continuité d’activité TIC permettant de maintenir les fonctions critiques ou importantes en cas d’incident ou de perturbation importante. Cette politique doit intégrer l’analyse d’impact, les dépendances critiques, les prestataire"/>
        <s v="Mettre en place des plans de réponse et de récupération TIC afin de gérer rapidement les incidents, limiter leurs impacts, restaurer les services affectés et assurer le retour à un fonctionnement sécurisé. Ces plans doivent être testés, revus et adaptés a"/>
        <s v="Définir des politiques et procédures de sauvegarde, de restauration et de récupération permettant de restaurer les systèmes et les données avec un temps d’arrêt limité, une perte minimale et un haut niveau d’intégrité. Les sauvegardes doivent être adaptée"/>
        <s v="Établir et mettre en œuvre un processus de gestion des incidents TIC permettant de détecter, gérer, suivre et notifier les incidents. Ce processus doit permettre l’enregistrement des incidents, l’analyse des causes, le traitement, le suivi et la préventio"/>
        <s v="Classifier les incidents TIC selon leur priorité, leur gravité et leur impact. La classification doit prendre en compte les clients ou contreparties touchés, la durée de l’incident, l’étendue géographique, les pertes de données, la criticité des services "/>
        <s v="Notifier les incidents TIC majeurs aux autorités compétentes selon les modalités et délais prévus. L’organisation doit être capable d’identifier les incidents majeurs, de préparer les informations nécessaires et de transmettre les déclarations officielles"/>
        <s v="Enregistrer tous les incidents TIC et les cybermenaces significatives. L’organisation doit conserver une traçabilité des incidents, documenter leur traitement, identifier les causes profondes, suivre les actions correctives et utiliser ces informations po"/>
        <s v="Prévoir une stratégie de communication en cas d’incident TIC. L’organisation doit définir comment communiquer avec le personnel, les parties externes, les médias, les clients et les autorités compétentes, ainsi que les procédures d’escalade interne et de "/>
        <s v="Mettre en place un programme de tests de résilience opérationnelle numérique afin de vérifier régulièrement l’efficacité des outils, systèmes, protocoles, procédures et mesures de sécurité TIC. Ces tests doivent permettre d’identifier les faiblesses, vuln"/>
        <s v="Réaliser, pour les entités concernées, des tests avancés de pénétration fondés sur la menace, appelés TLPT. Ces tests doivent simuler des attaques réalistes sur les fonctions critiques ou importantes et être réalisés selon des exigences encadrées, avec de"/>
        <s v="Analyser les résultats des tests de résilience et mettre en place des plans de remédiation. Les vulnérabilités, faiblesses ou insuffisances détectées doivent être corrigées, documentées et suivies jusqu’à leur résolution afin d’améliorer le niveau de rési"/>
        <s v="Gérer les risques liés aux prestataires tiers TIC comme une composante du risque TIC global. L’organisation reste pleinement responsable de ses obligations même lorsqu’elle externalise des services TIC, et doit surveiller les dépendances, la criticité des"/>
        <s v="Maintenir et mettre à jour un registre des contrats conclus avec les prestataires tiers TIC. Ce registre doit distinguer les contrats portant sur des fonctions critiques ou importantes et contenir les informations nécessaires à la supervision des dépendan"/>
        <s v="Évaluer les prestataires TIC avant la conclusion d’un contrat. L’organisation doit analyser la criticité du service, les risques associés, les conditions de supervision, les conflits d’intérêts possibles, les dépendances et la capacité du prestataire à re"/>
        <s v="Définir dans les contrats TIC les exigences essentielles relatives aux services fournis, aux niveaux de service, aux lieux de traitement des données, à la disponibilité, l’intégrité, la sécurité, la protection des données, l’assistance en cas d’incident, "/>
        <s v="Prévoir dans les contrats des droits d’accès, d’inspection et d’audit permettant à l’organisation, à un tiers désigné ou à l’autorité compétente de contrôler le prestataire TIC. Ces droits doivent permettre de vérifier la performance, la sécurité et la ma"/>
        <s v="Prévoir une stratégie de sortie pour les services TIC externalisés, notamment lorsque ceux-ci soutiennent des fonctions critiques ou importantes. Cette stratégie doit permettre de changer de prestataire, de transférer le service ou de le réinternaliser en"/>
        <s v="Participer, lorsque cela est approprié, à des dispositifs de partage d’informations sur les cybermenaces et vulnérabilités. Ce partage doit permettre d’améliorer la prévention, la détection, la réponse collective et la capacité du secteur financier à limi"/>
        <s v="Réaliser des revues post-incident après un incident TIC majeur ayant perturbé les activités essentielles. Ces revues doivent analyser les causes, vérifier si les procédures ont été suivies, évaluer l’efficacité de la réponse, de l’escalade, de l’analyse t"/>
        <s v="Intégrer de manière continue les leçons tirées des incidents réels, des tests de résilience, des audits, des plans de continuité et des échanges avec d’autres acteurs dans le processus d’évaluation du risque TIC. Ces enseignements doivent servir à revoir "/>
        <s v="Développer des programmes de sensibilisation à la sécurité TIC et de formation à la résilience opérationnelle numérique. Ces formations doivent être intégrées au parcours de formation du personnel et concerner aussi la direction, avec un niveau adapté aux"/>
        <s v="Assurer une veille continue sur les évolutions technologiques, les nouvelles menaces, les formes récentes de cyberattaques et les pratiques de gestion du risque TIC. L’organisation doit utiliser cette veille pour adapter ses exigences de sécurité et maint"/>
      </sharedItems>
    </cacheField>
    <cacheField name="Type d’actif" numFmtId="0">
      <sharedItems>
        <s v="Organisation"/>
        <s v="Processus"/>
        <s v="Matériel / Logiciel / Information"/>
        <s v="Matériel / Logiciel"/>
        <s v="Matériel / Logiciel / Réseau"/>
        <s v="Organisation / Processus"/>
        <s v="Information / Logiciel"/>
        <s v="Information / Organisation"/>
        <s v="Réseau / Logiciel"/>
        <s v="Organisation / Réseau / Logiciel"/>
        <s v="Personnel / Organisation"/>
        <s v="Organisation / Information"/>
      </sharedItems>
    </cacheField>
    <cacheField name="Fonction sécurité" numFmtId="0">
      <sharedItems>
        <s v="Gouverner"/>
        <s v="Gouverner / Évaluer"/>
        <s v="Identifier"/>
        <s v="Protéger"/>
        <s v="Détecter"/>
        <s v="Répondre / Récupérer"/>
        <s v="Récupérer"/>
        <s v="Répondre"/>
        <s v="Identifier / Répondre"/>
        <s v="Notifier"/>
        <s v="Évaluer"/>
        <s v="Améliorer"/>
        <s v="Contrôler"/>
        <s v="Protéger / Répondre"/>
        <s v="Sensibiliser"/>
        <s v="Améliorer / Détecter"/>
      </sharedItems>
    </cacheField>
    <cacheField name="Preuve attendue" numFmtId="0">
      <sharedItems containsBlank="1">
        <s v="Procès-verbal, politique validée, responsabilités formalisées"/>
        <s v="Organigramme, fiches de rôles, matrice RACI"/>
        <s v="Politique de gestion des risques TIC, procédure, registre des risques"/>
        <s v="Politiques, procédures et stratégies documentées"/>
        <s v="Rapports d'audit interne, plan d'action post-audit."/>
        <s v="Stratégie de résilience numérique documentée et approuvée"/>
        <s v="Cartographie des actifs, registre des actifs"/>
        <s v="Politiques de sécurité, preuves de chiffrement, gestion des accès"/>
        <s v="Politique de gestion des correctifs, rapports de mise à jour"/>
        <s v="Outils de surveillance (SIEM, SOC), journaux d'événements"/>
        <s v="Politique de continuité des activités (PCA/PRA)"/>
        <s v="Plans de réponse aux incidents, rapports de tests"/>
        <s v="Politique de sauvegarde, journaux de sauvegarde, tests de restauration"/>
        <s v="Procédure de gestion des incidents, registre des incidents"/>
        <s v="Critères de classification, rapports d'incidents classifiés"/>
        <s v="Procédure de notification, modèle de déclaration, registre des incidents déclarés"/>
        <m/>
        <s v="Plan de communication de crise, procédure de communication, modèles de messages"/>
        <s v="Rapports de tests de vulnérabilité, plan de remédiation"/>
        <s v="Rapports TLPT, attestations de réalisation"/>
        <s v="Plan de remédiation, suivi des corrections, rapport de test"/>
        <s v="Registre des informations, évaluations des risques tiers"/>
        <s v="Registre des contrats TIC, liste des prestataires, cartographie des dépendances"/>
        <s v="Analyse précontractuelle, questionnaire fournisseur, due diligence"/>
        <s v="Contrats signés avec clauses DORA, politique d'externalisation"/>
        <s v="Clauses d’audit, rapports fournisseur, droit d’accès / inspection"/>
        <s v="Plan de sortie, clauses de réversibilité, procédure de transfert"/>
        <s v="Accords de partage d'informations, preuves de participation à des réseaux d'échange"/>
        <s v="Rapport post-incident, plan d’action"/>
        <s v="Plan d’amélioration, suivi des corrections"/>
        <s v="Plan de formation, preuve de participation"/>
        <s v="Veille cyber, rapports de surveillance"/>
      </sharedItems>
    </cacheField>
    <cacheField name="Niveau de maturité" numFmtId="0">
      <sharedItems>
        <s v="5 - Optimal"/>
        <s v="2 - Émergent"/>
        <s v="4 - Confirmé"/>
        <s v="1 - Insuffisant"/>
        <s v="3 - Intermédiaire"/>
        <s v="Non applicable"/>
      </sharedItems>
    </cacheField>
    <cacheField name="Description du niveau" numFmtId="0">
      <sharedItems>
        <s v="Des objectifs de réduction des risques cyber intégrés à la stratégie de l'organisation. Des moyens humains, budgétaires conséquents, un plan d'action cyber exhaustif, adapté aux menaces stratégiques."/>
        <s v="Une prise de conscience de l'existence de risques cyber pour l'organisation et une volonté de mettre en place des premières mesures cyber pertinentes."/>
        <s v="Une cartographie précise de ses risques cyber pour l'organisation, un plan d'action cyber approfondi et des moyens humains et budgétaires dédiés."/>
        <s v="Une conscience insuffisante des risques cyber pesant sur l'organisation. Pas ou peu de mesures spécifiques mises en oeuvre en matière de cybersécurité."/>
        <s v="Une conscience partagée des risques cyber pour l'organisation et la volonté de formaliser un plan d'action cyber complet tout en ajustant les moyens en conséquence."/>
        <s v="Le critère ou l'exigence évalué n'est pas pertinent au regard des activités, du périmètre technique ou du cadre réglementaire de l'organisation."/>
      </sharedItems>
    </cacheField>
    <cacheField name="Risque encouru" numFmtId="0">
      <sharedItems>
        <s v=""/>
        <s v="Confusion dans les actions de sécurité et conflits d'intérêts. Risque d'inaction ou de mauvaise gestion lors d'un incident critique."/>
        <s v="Les attaquants peuvent rester cachés longtemps dans le réseau. L'impact de l'attaque s'aggrave avec le temps de détection."/>
        <s v="Arrêt total des opérations en cas de sinistre. Incapacité à fournir les services essentiels aux clients."/>
        <s v="Perte définitive de données critiques suite à un ransomware ou un sinistre. Impossibilité de relancer l'activité."/>
        <s v="Traitement inefficace des incidents. Les mêmes attaques peuvent se reproduire sans amélioration des défenses."/>
        <s v="Gaspillage des ressources sur des incidents mineurs au détriment des crises réelles. Risque de mauvaise appréciation de l'impact."/>
        <s v="Sanctions réglementaires sévères et amendes. Perte de confiance des autorités et des partenaires."/>
        <s v="Les vulnérabilités connues restent exploitables. Négligence coupable facilitant grandement le travail des cybercriminels."/>
      </sharedItems>
    </cacheField>
    <cacheField name="Commentaire "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62" sheet="CIS Controls"/>
  </cacheSource>
  <cacheFields>
    <cacheField name="Contrôle CIS" numFmtId="0">
      <sharedItems containsBlank="1">
        <s v="INVENTAIRE ET CONTRÔLE DES ACTIFS MATÉRIELS"/>
        <m/>
        <s v="INVENTAIRE ET CONTRÔLE DES ACTIFS LOGICIELS"/>
        <s v="PROTECTION DES DONNÉES"/>
        <s v="CONFIGURATION SÉCURISÉE DES ACTIFS ET LOGICIELS"/>
        <s v="GESTION DES COMPTES"/>
        <s v="GESTION DU CONTRÔLE D'ACCÈS"/>
        <s v="GESTION CONTINUE DES VULNÉRABILITÉS"/>
        <s v="GESTION DES JOURNAUX D'AUDIT"/>
        <s v="PROTECTIONS DE LA MESSAGERIE ET DU NAVIGATEUR WEB"/>
        <s v="DÉFENSES CONTRE LES LOGICIELS MALVEILLANTS"/>
        <s v="RESTAURATION DES DONNÉES"/>
        <s v="GESTION DE L'INFRASTRUCTURE RÉSEAU"/>
        <s v="SURVEILLANCE ET DÉFENSE DU RÉSEAU"/>
        <s v="SENSIBILISATION ET FORMATION À LA SÉCURITÉ"/>
        <s v="GESTION DES PRESTATAIRES DE SERVICES"/>
        <s v="SÉCURITÉ DES LOGICIELS APPLICATIFS"/>
        <s v="GESTION DE LA RÉPONSE AUX INCIDENTS"/>
        <s v="TESTS D'INTRUSION"/>
      </sharedItems>
    </cacheField>
    <cacheField name="contrôle cis2" numFmtId="0">
      <sharedItems>
        <s v="Inventaire et contrôle des actifs matériels"/>
        <s v="Inventaire et contrôle des actifs logiciels"/>
        <s v="Protection des données"/>
        <s v="Configuration sécurisée des actifs et logiciels"/>
        <s v="Gestion des comptes"/>
        <s v="Gestion du contrôle d'accès"/>
        <s v="Gestion continue des vulnérabilités"/>
        <s v="Gestion des journaux d'audit"/>
        <s v="Protections de la messagerie et du navigateur web"/>
        <s v="Défenses contre les logiciels malveillants"/>
        <s v="Restauration des données"/>
        <s v="Gestion de l'infrastructure réseau"/>
        <s v="Surveillance et défense du réseau"/>
        <s v="Sensibilisation et formation à la sécurité"/>
        <s v="Gestion des prestataires de services"/>
        <s v="Sécurité des logiciels applicatifs"/>
        <s v="Gestion de la réponse aux incidents"/>
        <s v="Tests d'intrusion"/>
      </sharedItems>
    </cacheField>
    <cacheField name="ID Contrôle" numFmtId="0">
      <sharedItems containsSemiMixedTypes="0" containsString="0" containsNumber="1" containsInteger="1">
        <n v="1.0"/>
        <n v="2.0"/>
        <n v="3.0"/>
        <n v="4.0"/>
        <n v="5.0"/>
        <n v="6.0"/>
        <n v="7.0"/>
        <n v="8.0"/>
        <n v="9.0"/>
        <n v="10.0"/>
        <n v="11.0"/>
        <n v="12.0"/>
        <n v="13.0"/>
        <n v="14.0"/>
        <n v="15.0"/>
        <n v="16.0"/>
        <n v="17.0"/>
        <n v="18.0"/>
      </sharedItems>
    </cacheField>
    <cacheField name="ID Mesure" numFmtId="164">
      <sharedItems containsSemiMixedTypes="0" containsDate="1" containsString="0">
        <d v="2026-01-01T00:00:00Z"/>
        <d v="2026-02-01T00:00:00Z"/>
        <d v="2026-03-01T00:00:00Z"/>
        <d v="2026-04-01T00:00:00Z"/>
        <d v="2026-05-01T00:00:00Z"/>
        <d v="2026-01-02T00:00:00Z"/>
        <d v="2026-02-02T00:00:00Z"/>
        <d v="2026-03-02T00:00:00Z"/>
        <d v="2026-04-02T00:00:00Z"/>
        <d v="2026-05-02T00:00:00Z"/>
        <d v="2026-06-02T00:00:00Z"/>
        <d v="2026-07-02T00:00:00Z"/>
        <d v="2026-01-03T00:00:00Z"/>
        <d v="2026-02-03T00:00:00Z"/>
        <d v="2026-03-03T00:00:00Z"/>
        <d v="2026-04-03T00:00:00Z"/>
        <d v="2026-05-03T00:00:00Z"/>
        <d v="2026-06-03T00:00:00Z"/>
        <d v="2026-01-04T00:00:00Z"/>
        <d v="2026-02-04T00:00:00Z"/>
        <d v="2026-01-05T00:00:00Z"/>
        <d v="2026-02-05T00:00:00Z"/>
        <d v="2026-03-05T00:00:00Z"/>
        <d v="2026-04-05T00:00:00Z"/>
        <d v="2026-01-06T00:00:00Z"/>
        <d v="2026-02-06T00:00:00Z"/>
        <d v="2026-03-06T00:00:00Z"/>
        <d v="2026-01-07T00:00:00Z"/>
        <d v="2026-02-07T00:00:00Z"/>
        <d v="2026-03-07T00:00:00Z"/>
        <d v="2026-04-07T00:00:00Z"/>
        <d v="2026-01-08T00:00:00Z"/>
        <d v="2026-02-08T00:00:00Z"/>
        <d v="2026-03-08T00:00:00Z"/>
        <d v="2026-01-09T00:00:00Z"/>
        <d v="2026-02-09T00:00:00Z"/>
        <d v="2026-01-10T00:00:00Z"/>
        <d v="2026-02-10T00:00:00Z"/>
        <d v="2026-03-10T00:00:00Z"/>
        <d v="2026-01-11T00:00:00Z"/>
        <d v="2026-02-11T00:00:00Z"/>
        <d v="2026-03-11T00:00:00Z"/>
        <d v="2026-04-11T00:00:00Z"/>
        <d v="2026-05-11T00:00:00Z"/>
        <d v="2026-01-12T00:00:00Z"/>
        <d v="2026-02-12T00:00:00Z"/>
        <d v="2026-01-13T00:00:00Z"/>
        <d v="2026-02-13T00:00:00Z"/>
        <d v="2026-01-14T00:00:00Z"/>
        <d v="2026-02-14T00:00:00Z"/>
        <d v="2026-01-15T00:00:00Z"/>
        <d v="2026-02-15T00:00:00Z"/>
        <d v="2026-01-16T00:00:00Z"/>
        <d v="2026-02-16T00:00:00Z"/>
        <d v="2026-01-17T00:00:00Z"/>
        <d v="2026-02-17T00:00:00Z"/>
        <d v="2026-03-17T00:00:00Z"/>
        <d v="2026-01-18T00:00:00Z"/>
        <d v="2026-02-18T00:00:00Z"/>
        <d v="2026-03-18T00:00:00Z"/>
      </sharedItems>
    </cacheField>
    <cacheField name="id mesure2" numFmtId="0">
      <sharedItems>
        <s v="Établir et maintenir un inventaire détaillé des actifs de l'entreprise (matériels, cloud, etc.)"/>
        <s v="Traiter les actifs non autorisés (les retirer du réseau, les isoler ou les autoriser)"/>
        <s v="Utiliser un outil de découverte active pour identifier les actifs connectés"/>
        <s v="Mettre à jour l'inventaire via l'enregistrement des requêtes DHCP"/>
        <s v="Utiliser un outil de découverte passive pour identifier les actifs connectés"/>
        <s v="Établir et maintenir un inventaire des logiciels autorisés"/>
        <s v="S'assurer que les logiciels autorisés sont toujours supportés"/>
        <s v="Traiter les logiciels non autorisés"/>
        <s v="Utiliser des outils d'inventaire logiciel automatisés"/>
        <s v="Autoriser l'exécution de logiciels via liste d'autorisation (Allowlisting)"/>
        <s v="Autoriser l'exécution de bibliothèques via liste d'autorisation"/>
        <s v="Autoriser l'exécution de scripts via liste d'autorisation"/>
        <s v="Établir et maintenir un processus de gestion des données"/>
        <s v="Établir et maintenir un inventaire des données"/>
        <s v="Configurer les listes de contrôle d'accès aux données"/>
        <s v="Appliquer la politique de conservation des données"/>
        <s v="Supprimer les données de manière sécurisée"/>
        <s v="Chiffrer les données sur les terminaux utilisateurs"/>
        <s v="Établir et maintenir un processus de configuration sécurisée"/>
        <s v="Mettre en place un processus de configuration sécurisée pour l'infrastructure réseau"/>
        <s v="Établir et maintenir un inventaire des comptes"/>
        <s v="Utiliser des mots de passe uniques"/>
        <s v="Désactiver les comptes dormants"/>
        <s v="Restreindre les privilèges administrateur aux comptes dédiés"/>
        <s v="Établir un processus d'octroi et de révocation des accès"/>
        <s v="Exiger l'authentification multifacteur (MFA) pour les accès distants"/>
        <s v="Exiger le MFA pour les accès administrateurs"/>
        <s v="Établir et maintenir un processus de gestion des vulnérabilités"/>
        <s v="Établir et maintenir un processus de remédiation"/>
        <s v="Exécuter des analyses de vulnérabilités automatisées"/>
        <s v="Effectuer une gestion des correctifs applicatifs"/>
        <s v="Établir et maintenir un processus de gestion des journaux d'audit"/>
        <s v="Collecter les journaux d'audit"/>
        <s v="S'assurer d'un stockage adéquat des journaux d'audit"/>
        <s v="Assurer l'utilisation de navigateurs web et de clients de messagerie supportés"/>
        <s v="Utiliser des services de filtrage DNS"/>
        <s v="Déployer et maintenir un logiciel anti-malware"/>
        <s v="Configurer les mises à jour automatiques des signatures anti-malware"/>
        <s v="Désactiver l'exécution automatique (AutoRun)"/>
        <s v="Établir et maintenir un processus de restauration des données"/>
        <s v="Effectuer des sauvegardes automatisées"/>
        <s v="Protéger les données de sauvegarde"/>
        <s v="Établir et maintenir une instance isolée des sauvegardes"/>
        <s v="Tester la restauration des données"/>
        <s v="S'assurer de l'actualité de l'infrastructure réseau"/>
        <s v="Établir et maintenir une architecture réseau sécurisée"/>
        <s v="Centraliser les alertes de sécurité"/>
        <s v="Déployer un système de détection d'intrusion réseau (NIDS)"/>
        <s v="Établir et maintenir un programme de sensibilisation à la sécurité"/>
        <s v="Former les employés à la reconnaissance des attaques d'ingénierie sociale"/>
        <s v="Établir et maintenir un inventaire des prestataires de services"/>
        <s v="Établir et maintenir une politique de gestion des prestataires"/>
        <s v="Établir et maintenir un processus de développement logiciel sécurisé"/>
        <s v="Établir et maintenir un inventaire des logiciels tiers"/>
        <s v="Désigner du personnel clé pour la réponse aux incidents"/>
        <s v="Établir et maintenir les coordonnées pour la notification d'incidents"/>
        <s v="Établir et maintenir un processus de réponse aux incidents"/>
        <s v="Établir et maintenir un programme de tests d'intrusion"/>
        <s v="Effectuer des tests d'intrusion externes périodiques"/>
        <s v="Remédier aux vulnérabilités identifiées lors des tests d'intrusion"/>
      </sharedItems>
    </cacheField>
    <cacheField name="Description complète" numFmtId="0">
      <sharedItems>
        <s v="Établir et tenir à jour un inventaire précis, détaillé et actualisé de tous les actifs de l'entreprise susceptibles de stocker ou de traiter des données, à savoir : les appareils des utilisateurs finaux (y compris les appareils portables et mobiles), les "/>
        <s v="S'assurer qu'il existe un processus permettant de traiter les biens non autorisés sur une base hebdomadaire. L'entreprise peut choisir de retirer l'actif du réseau, d'empêcher l'actif de se connecter à distance au réseau ou de le mettre en quarantaine."/>
        <s v="Utiliser un outil de découverte active pour identifier les actifs connectés au réseau de l'entreprise. Configurer l'outil de découverte active pour qu'il s'exécute quotidiennement ou plus fréquemment."/>
        <s v="Utiliser la journalisation DHCP sur tous les serveurs DHCP ou les outils de gestion des adresses IP (Internet Protocol) pour mettre à jour l'inventaire des actifs de l'entreprise. Examiner et utiliser les journaux pour mettre à jour l'inventaire des actif"/>
        <s v="Utiliser un outil de découverte passive pour identifier les actifs connectés au réseau de l'entreprise. Examiner et utiliser les analyses pour mettre à jour l'inventaire des actifs de l'entreprise au moins une fois par semaine, voire plus fréquemment."/>
        <s v="Établir et tenir à jour un inventaire détaillé de tous les logiciels sous licence installés sur les biens de l'entreprise. L'inventaire des logiciels doit indiquer le titre, l'éditeur, la date d'installation/d'utilisation initiale et l'objectif commercial"/>
        <s v="Veiller à ce que seuls les logiciels actuellement pris en charge soient désignés comme autorisés dans l'inventaire des logiciels pour les actifs de l'entreprise. Si un logiciel n'est pas pris en charge, mais qu'il est nécessaire à l'accomplissement de la "/>
        <s v="Veiller à ce que les logiciels non autorisés soient retirés des actifs de l'entreprise ou fassent l'objet d'une exception documentée. Révision mensuelle ou plus fréquente."/>
        <s v="Utiliser, si possible, des outils d'inventaire des logiciels dans toute l'entreprise pour automatiser la découverte et la documentation des logiciels installés. "/>
        <s v="Utiliser des contrôles techniques, tels que des listes d'autorisation d'applications, pour s'assurer que seuls les logiciels autorisés peuvent s'exécuter ou être consultés. Réévaluer deux fois par an, ou plus fréquemment."/>
        <s v=" Utiliser des contrôles techniques pour s'assurer que seules les bibliothèques logicielles autorisées, telles que les fichiers .dll, .ocx et .so, sont autorisées à être chargées dans un processus système. Empêcher les bibliothèques non autorisées de se ch"/>
        <s v="Utilisez des contrôles techniques, tels que les signatures numériques et le contrôle des versions, pour vous assurer que seuls les scripts autorisés, tels que les fichiers .ps1 et .py spécifiques, sont autorisés à s'exécuter. Empêcher les scripts non auto"/>
        <s v="Établir et maintenir un processus documenté de gestion des données. Dans le cadre de ce processus, la sensibilité des données, le propriétaire des données, le traitement des données, les limites de conservation des données et les exigences en matière d'él"/>
        <s v="Établir et tenir à jour un inventaire des données basé sur le processus de gestion des données de l'entreprise. Inventorier les données sensibles au moins une fois par an. Réviser et mettre à jour l'inventaire au moins une fois par an, en accordant la pri"/>
        <s v="Configurer les listes de contrôle d'accès aux données en fonction du besoin d'en connaître de l'utilisateur. Appliquer des listes de contrôle d'accès aux données, également connues sous le nom d'autorisations d'accès, aux systèmes de fichiers locaux et di"/>
        <s v="Conserver les données conformément au processus documenté de gestion des données de l'entreprise. La conservation des données doit comprendre des délais minimums et maximums."/>
        <s v="Éliminer les données en toute sécurité, conformément au processus documenté de gestion des données de l'entreprise. Veiller à ce que le processus et la méthode d'élimination soient proportionnels à la sensibilité des données."/>
        <s v="Chiffrer les données sur les appareils des utilisateurs finaux contenant des données sensibles. Les exemples de mise en œuvre sont les suivants : Windows BitLocker®, Apple FileVault Windows BitLocker®, Apple FileVault®, Linux® dm-crypt."/>
        <s v="Établir et maintenir un processus de configuration sécurisée documenté pour les actifs de l'entreprise (dispositifs de l'utilisateur final, y compris portables et mobiles, dispositifs non informatiques/IoT, et serveurs) et les logiciels (systèmes d'exploi"/>
        <s v="Établir et maintenir un processus de configuration sécurisé et documenté pour les dispositifs du réseau. Examiner et mettre à jour la documentation chaque année, ou lorsque des changements importants interviennent dans l'entreprise et pourraient avoir une"/>
        <s v="Établir et tenir à jour un inventaire de tous les comptes gérés dans l'entreprise. L'inventaire doit au minimum inclure les comptes utilisateurs, les comptes administrateurs et les comptes de service. L'inventaire doit au moins contenir le nom de la perso"/>
        <s v="Utiliser des mots de passe uniques pour tous les actifs de l'entreprise. Les meilleures pratiques comprennent, au minimum, un mot de passe de 8 caractères pour les comptes utilisant l'authentification multifactorielle (MFA) et un mot de passe de 14 caract"/>
        <s v="Supprimer ou désactiver tout compte dormant après une période d'inactivité de 45 jours, lorsque cela est possible."/>
        <s v="Restreindre les privilèges d'administrateur aux comptes d'administrateur dédiés aux actifs de l'entreprise. Effectuer les activités informatiques générales, telles que la navigation sur Internet, le courrier électronique et l'utilisation de la suite de pr"/>
        <s v="Établir et suivre une procédure documentée, de préférence automatisée, pour accorder l'accès aux actifs de l'entreprise lors de l'embauche ou du changement de rôle d'un utilisateur."/>
        <s v="Établir et suivre une procédure, de préférence automatisée, pour révoquer l'accès aux actifs de l'entreprise, en désactivant les comptes immédiatement en cas de résiliation, de révocation des droits ou de changement de rôle d'un utilisateur. La désactivat"/>
        <s v="Exiger que toutes les applications de l'entreprise ou de tiers exposées à l'extérieur appliquent la MFA, lorsqu'elle est prise en charge. L'application de la MFA par l'intermédiaire d'un service d'annuaire ou d'un fournisseur de SSO constitue une mise en "/>
        <s v="Établir et maintenir un processus documenté de gestion des vulnérabilités pour les actifs de l'entreprise. Réviser et mettre à jour la documentation chaque année, ou lorsque des changements importants interviennent dans l'entreprise et pourraient avoir un"/>
        <s v="Établir et maintenir une stratégie de remédiation basée sur les risques, documentée dans un processus de remédiation, avec des révisions mensuelles ou plus fréquentes."/>
        <s v="Effectuer des mises à jour des systèmes d'exploitation sur les actifs de l'entreprise par le biais d'une gestion automatisée des correctifs sur une base mensuelle ou plus fréquente."/>
        <s v="Effectuer des mises à jour d'applications sur les actifs de l'entreprise par le biais d'une gestion automatisée des correctifs sur une base mensuelle ou plus fréquente."/>
        <s v="Établir et maintenir un processus documenté de gestion des journaux d'audit qui définit les exigences de l'entreprise en matière de journalisation. Il s'agit au minimum de la collecte, de l'examen et de la conservation des journaux d'audit pour les actifs"/>
        <s v="Collecter les journaux d'audit. S'assurer que la journalisation, conformément au processus de gestion des journaux d'audit de l'entreprise, a été activée pour tous les actifs de l'entreprise."/>
        <s v="Veiller à ce que les destinations de journalisation disposent d'un espace de stockage suffisant pour se conformer au processus de gestion des journaux d'audit de l'entreprise."/>
        <s v="Veiller à ce que seuls les navigateurs et les clients de messagerie entièrement pris en charge soient autorisés à s'exécuter dans l'entreprise, en utilisant uniquement la dernière version des navigateurs et des clients de messagerie fournie par le fournis"/>
        <s v="Utiliser des services de filtrage DNS sur tous les appareils des utilisateurs finaux, y compris les équipements distants et sur site, pour bloquer l'accès aux domaines malveillants connus."/>
        <s v="Déployer et maintenir un logiciel anti-malware sur tous les actifs de l'entreprise."/>
        <s v="Configurer des mises à jour automatiques pour les fichiers de signatures anti-malware sur tous les actifs de l'entreprise."/>
        <s v="Désactiver les fonctions d'exécution automatique autorun et autoplay pour les supports amovibles."/>
        <s v="Établir et maintenir un processus documenté de récupération des données. Dans le cadre de ce processus, il convient de définir l'étendue des activités de récupération des données, l'ordre de priorité de la récupération et la sécurité des données de sauveg"/>
        <s v="Effectuer des sauvegardes automatisées des actifs de l'entreprise concernés. Effectuer des sauvegardes hebdomadaires, ou plus fréquemment, en fonction de la sensibilité des données."/>
        <s v="Protéger les données de récupération par des contrôles équivalents aux données d'origine. Cryptage de référence ou séparation des données, en fonction des besoins."/>
        <s v="Établir et maintenir une instance isolée des données de récupération. Les exemples de mise en œuvre comprennent le contrôle des versions des destinations de sauvegarde par le biais de systèmes ou de services hors ligne, dans le nuage ou hors site."/>
        <s v="Tester la restauration des sauvegardes tous les trimestres, ou plus fréquemment, pour un échantillon d'actifs de l'entreprise entrant dans le champ d'application."/>
        <s v="Veiller à ce que l'infrastructure du réseau soit maintenue à jour. Les exemples de mise en œuvre comprennent l'exécution de la dernière version stable du logiciel et/ou l'utilisation d'offres de réseau en tant que service (NaaS) actuellement prises en cha"/>
        <s v="Concevoir et maintenir une architecture de réseau sécurisée. Une architecture de réseau sécurisée doit au moins prendre en compte la segmentation, le moindre privilège et la disponibilité. Les exemples de mise en œuvre ne comprendront pas uniquement de la"/>
        <s v="Centraliser les alertes d'événements de sécurité sur l'ensemble des actifs de l'entreprise pour la corrélation et l'analyse des journaux. La mise en œuvre des meilleures pratiques nécessite l'utilisation d'un SIEM, qui comprend des alertes de corrélation "/>
        <s v="Déployer une solution de détection d'intrusion basée sur l'hôte sur les actifs de l'entreprise, lorsque cela est approprié et/ou pris en charge."/>
        <s v="Établir et maintenir un programme de sensibilisation à la sécurité. L'objectif d'un programme de sensibilisation à la sécurité est de former le personnel de l'entreprise à la manière d'interagir avec les biens et les données de l'entreprise de manière séc"/>
        <s v="Former les membres du personnel à reconnaître les attaques d'ingénierie sociale, telles que le phishing, la compromission des courriers électroniques professionnels (BEC), le pretexting et le tailgating."/>
        <s v="Établir et tenir à jour un inventaire des fournisseurs de services. Cet inventaire doit dresser la liste de tous les fournisseurs de services connus, indiquer leur(s) classification(s) et désigner un contact au sein de l'entreprise pour chaque fournisseur"/>
        <s v="Établir et maintenir une politique de gestion des fournisseurs de services. Veiller à ce que cette politique traite de la classification, de l'inventaire, de l'évaluation, de la surveillance et de la mise hors service des fournisseurs de services. Réviser"/>
        <s v="Établir et maintenir un processus de développement d'applications sécurisées. Dans le cadre de ce processus, des éléments tels que les normes de conception d'applications sécurisées, les pratiques de codage sécurisées, la formation des développeurs, la ge"/>
        <s v="Établir et maintenir un processus pour accepter et traiter les rapports sur les vulnérabilités des logiciels, y compris en fournissant un moyen pour les entités externes de faire des rapports. Le processus doit comprendre des éléments tels que : une polit"/>
        <s v="Désigner une personne clé, et au moins un remplaçant, qui gérera le processus de traitement des incidents de l'entreprise. Le personnel de gestion est responsable de la coordination et de la documentation des efforts de réponse et de récupération en cas d"/>
        <s v="Établir et tenir à jour les coordonnées des parties qui doivent être informées des incidents de sécurité. Les contacts peuvent être le personnel interne, les fournisseurs de services, les forces de l'ordre, les fournisseurs de cyberassurance, les agences "/>
        <s v="Établir et maintenir un processus d'entreprise documenté permettant au personnel de signaler les incidents de sécurité. Cette procédure prévoit un délai de signalement, le nom des personnes à qui s'adresser, le mécanisme de signalement et les informations"/>
        <s v="Établir et maintenir un programme de tests de pénétration adapté à la taille, à la complexité, au secteur d'activité et à la maturité de l'entreprise. Les caractéristiques du programme de tests d'intrusion comprennent le champ d'application (réseau, appli"/>
        <s v="Effectuer des tests de pénétration externes périodiques en fonction des exigences du programme, au moins une fois par an. Les tests de pénétration externes doivent comprendre une reconnaissance de l'entreprise et de l'environnement afin de détecter les in"/>
        <s v="Remédier aux résultats des tests de pénétration sur la base du processus documenté de remédiation des vulnérabilités de l'entreprise. Il s'agit notamment de déterminer un calendrier et un niveau d'effort en fonction de l'impact et de l'ordre de priorité d"/>
      </sharedItems>
    </cacheField>
    <cacheField name="Description" numFmtId="0">
      <sharedItems>
        <s v="Maintenir un registre à jour de tous les équipements (physiques, virtuels, cloud) connectés à l'entreprise pour savoir ce qui doit être protégé."/>
        <s v="Mettre en place un processus hebdomadaire pour détecter et isoler ou déconnecter tout matériel non répertorié sur le réseau."/>
        <s v="Déployer un outil de scan automatique quotidien pour identifier activement tous les appareils connectés au réseau."/>
        <s v="Exploiter les journaux des serveurs DHCP pour mettre à jour l'inventaire matériel au moins une fois par semaine."/>
        <s v="Utiliser des outils d'écoute réseau (passive) pour identifier les équipements sans perturber le trafic."/>
        <s v="Créer et tenir à jour la liste de tous les logiciels dont l'utilisation est officiellement approuvée dans l'entreprise."/>
        <s v="Vérifier que les logiciels autorisés reçoivent toujours des mises à jour de sécurité de la part de leur éditeur."/>
        <s v="Identifier et supprimer ou bloquer tous les logiciels installés qui ne figurent pas dans l'inventaire autorisé."/>
        <s v="Mettre en place un outil d'inventaire logiciel qui remonte automatiquement les applications installées sur le parc."/>
        <s v="Bloquer par défaut l'exécution des programmes non approuvés via un système de liste blanche (allowlisting)."/>
        <s v="Étendre la liste blanche pour contrôler également l'exécution des bibliothèques système (.dll, .so)."/>
        <s v="Restreindre l'exécution de scripts (PowerShell, Python) aux seuls éléments explicitement validés."/>
        <s v="Définir une politique claire sur la manière de classer, traiter et protéger les données selon leur criticité."/>
        <s v="Cartographier où sont stockées les données sensibles (serveurs, cloud, postes) pour mieux les cibler."/>
        <s v="Configurer les droits d'accès pour que les employés n'aient accès qu'aux données nécessaires à leur fonction."/>
        <s v="Appliquer des règles automatiques pour conserver ou détruire les données selon les exigences légales et métiers."/>
        <s v="Mettre en place un effacement cryptographique ou une destruction physique sûre pour les supports en fin de vie."/>
        <s v="Activer le chiffrement de disque (ex: BitLocker) sur tous les ordinateurs et appareils mobiles des utilisateurs."/>
        <s v="Standardiser les configurations de sécurité (hardening) pour tous les systèmes d'exploitation et serveurs."/>
        <s v="Appliquer des standards de sécurité stricts pour la configuration des équipements réseau (firewalls, routeurs)."/>
        <s v="Gérer un registre centralisé de tous les comptes (employés, prestataires, services) pour suivre qui a accès à quoi."/>
        <s v="Imposer des mots de passe différents pour chaque système et éviter les comptes partagés."/>
        <s v="Désactiver automatiquement ou manuellement les comptes n'ayant pas été utilisés depuis un certain temps (ex: 45 jours)."/>
        <s v="Séparer les activités d'administration des activités courantes (internet, mail) en utilisant des comptes distincts."/>
        <s v="Formaliser les étapes de création, modification et suppression rapide des droits d'accès suite aux mouvements RH."/>
        <s v="Rendre obligatoire la validation en deux étapes (MFA) pour toute connexion depuis l'extérieur de l'entreprise (VPN)."/>
        <s v="Imposer le MFA pour toutes les connexions utilisant des droits d'administration (accès serveurs, cloud)."/>
        <s v="Définir un processus régulier pour identifier, évaluer et prioriser les failles de sécurité des systèmes."/>
        <s v="Mettre en place une procédure claire pour appliquer les correctifs (patchs) selon la criticité des vulnérabilités."/>
        <s v="Utiliser un scanner de vulnérabilités pour automatiser la détection des failles sur le réseau."/>
        <s v="Gérer de manière centralisée le déploiement des mises à jour pour les applications tierces."/>
        <s v="Identifier quels journaux d'événements (logs) doivent être conservés pour garantir la traçabilité en cas d'incident."/>
        <s v="Rassembler les logs des systèmes critiques vers un serveur de journalisation central."/>
        <s v="Dimensionner l'espace de stockage pour conserver les journaux pendant la durée légale et en assurer l'intégrité."/>
        <s v="Imposer l'utilisation exclusif de navigateurs et clients e-mail récents et supportés par leurs éditeurs."/>
        <s v="Bloquer l'accès aux sites malveillants connus en utilisant un service de filtrage au niveau DNS."/>
        <s v="Installer une solution antivirus/EDR sur l'ensemble des postes et serveurs pour détecter les codes malveillants."/>
        <s v="S'assurer que les bases de signatures des antivirus se mettent à jour de manière centralisée et automatique."/>
        <s v="Empêcher le lancement automatique des fichiers (AutoRun) lors de l'insertion de clés USB ou médias amovibles."/>
        <s v="Définir et documenter la procédure exacte permettant de restaurer les données en cas de sinistre ou de ransomware."/>
        <s v="Automatiser les sauvegardes régulières des systèmes critiques sans intervention manuelle."/>
        <s v="Sécuriser les serveurs de sauvegarde avec des droits stricts pour éviter qu'ils ne soient compromis en même temps que le reste."/>
        <s v="Conserver une copie des sauvegardes totalement déconnectée du réseau (hors ligne) ou immuable."/>
        <s v="Réaliser des exercices réguliers de restauration pour vérifier que les sauvegardes sont fonctionnelles et rapides."/>
        <s v="Vérifier régulièrement que les équipements réseau (switchs, routeurs) sont supportés et à jour techniquement."/>
        <s v="Segmenter le réseau pour isoler les systèmes critiques et filtrer les flux entre les différentes zones."/>
        <s v="Regrouper les alertes de sécurité (antivirus, réseau, système) sur un seul écran pour faciliter la surveillance."/>
        <s v="Installer des sondes de détection d'intrusion (NIDS) pour repérer les comportements anormaux sur le réseau."/>
        <s v="Créer un plan annuel pour former tous les employés aux bonnes pratiques de sécurité informatique."/>
        <s v="Entraîner spécifiquement les équipes à détecter l'hameçonnage (phishing) et l'ingénierie sociale."/>
        <s v="Lister tous les partenaires et sous-traitants ayant un accès à l'infrastructure ou aux données de l'entreprise."/>
        <s v="Établir des règles de sécurité contractuelles et vérifier le niveau de cybersécurité des prestataires."/>
        <s v="Intégrer des vérifications de sécurité dès la conception pour tout logiciel développé en interne."/>
        <s v="Garder une trace de tous les composants et bibliothèques externes utilisés dans les applications."/>
        <s v="Nommer les personnes chargées d'intervenir en priorité lorsqu'un incident de sécurité est détecté."/>
        <s v="Maintenir une liste de contacts à jour (internes et externes) pour communiquer rapidement en temps de crise."/>
        <s v="Rédiger et tester un plan de réponse aux incidents pour savoir comment réagir de manière structurée face à une cyberattaque."/>
        <s v="Définir une stratégie pour faire tester périodiquement les défenses de l'entreprise par des auditeurs."/>
        <s v="Organiser des tests d'intrusion (pentests) depuis l'extérieur pour évaluer l'exposition sur internet."/>
        <s v="Corriger rapidement les failles critiques qui ont été démontrées par les tests d'intrusion."/>
      </sharedItems>
    </cacheField>
    <cacheField name="Type d'actifs" numFmtId="0">
      <sharedItems>
        <s v="Matériel"/>
        <s v="Logiciel"/>
        <s v="Données"/>
        <s v="Infrastructure"/>
        <s v="Comptes (Utilisateurs/Admin)"/>
        <s v="Accès &amp; Identités"/>
        <s v="Systèmes &amp; Applications"/>
        <s v="Journaux d'Audit (Logs)"/>
        <s v="Navigateurs &amp; Messagerie"/>
        <s v="Terminaux (Endpoints)"/>
        <s v="Sauvegardes"/>
        <s v="Infrastructure Réseau"/>
        <s v="Réseau (Flux &amp; Alertes)"/>
        <s v="Ressources Humaines"/>
        <s v="Prestataires / Fournisseurs"/>
        <s v="Logiciels (Développement/Tiers)"/>
        <s v="Organisation / Processus"/>
        <s v="Systèmes (Périmètre d'audit)"/>
      </sharedItems>
    </cacheField>
    <cacheField name="Fonction de Sécurité" numFmtId="0">
      <sharedItems>
        <s v="Identifier"/>
        <s v="Répondre"/>
        <s v="Protéger"/>
        <s v="Recover"/>
        <s v="Détecter"/>
      </sharedItems>
    </cacheField>
    <cacheField name="Groupe (IG)" numFmtId="0">
      <sharedItems>
        <s v="IG1/2/3"/>
        <s v="IG2/3"/>
        <s v="IG3"/>
      </sharedItems>
    </cacheField>
    <cacheField name="Niveau de Maturité" numFmtId="0">
      <sharedItems>
        <s v="Non applicable"/>
        <s v="2 - Émergent"/>
        <s v="5 - Optimal"/>
        <s v="3 - Intermédiaire"/>
        <s v="1 - Insuffisant"/>
        <s v="4 - Confirmé"/>
      </sharedItems>
    </cacheField>
    <cacheField name="Preuves / Commentaires" numFmtId="0">
      <sharedItems containsBlank="1">
        <s v="Fichier Excel existant mais mis à jour manuellement une fois par an. Cloud absent."/>
        <s v="Aucun filtrage réseau en place. Les prises réseau sont en accès libre dans les bureaux."/>
        <m/>
        <s v=" Une liste des logiciels &quot;validés&quot; existe, mais l'audit a révélé la présence d'outils non autorisés (Dropbox personnel, vieux VLC) sur 15% des postes."/>
        <s v="Le traitement des données se fait de manière ad hoc. Aucune politique formalisée de classification (Public, Interne, Confidentiel) n'a été rédigée."/>
        <s v="Les postes Windows sont déployés via un master durci par GPO. En revanche, les serveurs Linux sont configurés manuellement &quot;à la volée&quot;."/>
        <s v="L'Active Directory est propre. Un script désactive automatiquement les comptes inactifs depuis plus de 45 jours."/>
        <s v="Les accès sont donnés par mail au Service Desk par les managers. Pas de système de ticket traçable avec validation hiérarchique stricte."/>
        <s v="Des scans Nessus sont lancés tous les trimestres. Les failles critiques sont corrigées, mais souvent au-delà de 30 jours."/>
        <s v="Les serveurs génèrent des logs en local. En cas d'incident, il faut se connecter machine par machine. Aucun serveur centralisé."/>
        <s v="Les navigateurs (Edge/Chrome) et clients mail sont gérés par le MDM et forcés à se mettre à jour automatiquement dès la sortie d'un patch."/>
        <s v="Un EDR moderne (CrowdStrike/Defender) est déployé sur 98% des postes de travail. Il manque quelques serveurs de production anciens."/>
        <s v="Les sauvegardes VEEAM tournent toutes les nuits vers un NAS. Cependant, la procédure de restauration n'est ni documentée ni testée régulièrement."/>
        <s v="Les routeurs et pare-feux sont mis à jour une fois par an. Le processus est manuel et requiert l'arrêt des services."/>
        <s v="Aucune sonde réseau n'est en place. Les alertes du pare-feu ne sont pas surveillées activement (envoyées sur une boîte mail générique non lue)."/>
      </sharedItems>
    </cacheField>
    <cacheField name="Recommendation" numFmtId="0">
      <sharedItems containsBlank="1">
        <s v="Mettre en place un outil d'inventaire automatisé (ex: OCS Inventory, GLPI)."/>
        <s v="Configurer le port security ou le protocole 802.1x sur les switchs d'accès."/>
        <m/>
        <s v="Coupler l'inventaire avec une solution de contrôle applicatif (type AppLocker) pour bloquer l'exécution des logiciels non listés."/>
        <s v="Rédiger et faire valider par la direction une politique de classification et de protection de l'information."/>
        <s v="Créer des scripts de durcissement standardisés (Ansible / Chef) pour automatiser et unifier la configuration des serveurs Linux."/>
        <s v="Étendre cette procédure d'inventaire automatisé aux comptes locaux des serveurs et aux applications SaaS métiers."/>
        <s v="Mettre en place un workflow d'approbation formel dans l'outil de ticketing (GLPI/Jira) pour chaque demande de privilège."/>
        <s v="Augmenter la fréquence des scans à un rythme hebdomadaire et fixer un SLA de 14 jours pour le patch des failles critiques."/>
        <s v="Déployer un collecteur central de logs (Syslog ou SIEM léger) pour regrouper et protéger les traces contre l'effacement."/>
        <s v="Maintenir le niveau de configuration actuel. Auditer périodiquement les stratégies MDM pour éviter les dérives."/>
        <s v="Planifier une fenêtre de maintenance pour installer l'agent EDR sur les 2% de serveurs restants."/>
        <s v="Rédiger la procédure de restauration et planifier un test fonctionnel trimestriel (restauration d'une VM critique en environnement isolé)."/>
        <s v="Définir un processus de mise à jour semi-annuel et concevoir une architecture réseau haute dispo (HA) pour patcher sans coupure."/>
        <s v="Rediriger les alertes critiques du pare-feu vers l'outil de ticketing ou un canal Teams/Slack dédié à l'équipe sécurité."/>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Guide dhygiène informatique ANS" cacheId="0" dataCaption="" compact="0" compactData="0">
  <location ref="E139:F150" firstHeaderRow="0" firstDataRow="1" firstDataCol="0"/>
  <pivotFields>
    <pivotField name="Chapitres" axis="axisRow" compact="0" outline="0" multipleItemSelectionAllowed="1" showAll="0" sortType="ascending">
      <items>
        <item x="2"/>
        <item x="1"/>
        <item x="6"/>
        <item x="7"/>
        <item x="9"/>
        <item x="5"/>
        <item x="4"/>
        <item x="3"/>
        <item x="0"/>
        <item x="8"/>
        <item t="default"/>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Niveau " dataField="1" compact="0" outline="0" multipleItemSelectionAllowed="1" showAll="0">
      <items>
        <item x="0"/>
        <item x="1"/>
        <item x="2"/>
        <item x="3"/>
        <item x="4"/>
        <item x="5"/>
        <item t="default"/>
      </items>
    </pivotField>
  </pivotFields>
  <rowFields>
    <field x="0"/>
  </rowFields>
  <dataFields>
    <dataField name="AVERAGE of Niveau " fld="2" subtotal="average" baseField="0"/>
  </dataFields>
</pivotTableDefinition>
</file>

<file path=xl/pivotTables/pivotTable2.xml><?xml version="1.0" encoding="utf-8"?>
<pivotTableDefinition xmlns="http://schemas.openxmlformats.org/spreadsheetml/2006/main" name="Guide dhygiène informatique ANS 2" cacheId="0" dataCaption="" compact="0" compactData="0">
  <location ref="E155:F166" firstHeaderRow="0" firstDataRow="1" firstDataCol="0"/>
  <pivotFields>
    <pivotField name="Chapitres" axis="axisRow" compact="0" outline="0" multipleItemSelectionAllowed="1" showAll="0" sortType="ascending">
      <items>
        <item x="2"/>
        <item x="1"/>
        <item x="6"/>
        <item x="7"/>
        <item x="9"/>
        <item x="5"/>
        <item x="4"/>
        <item x="3"/>
        <item x="0"/>
        <item x="8"/>
        <item t="default"/>
      </items>
    </pivotField>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Niveau " dataField="1" compact="0" outline="0" multipleItemSelectionAllowed="1" showAll="0">
      <items>
        <item x="0"/>
        <item x="1"/>
        <item x="2"/>
        <item x="3"/>
        <item x="4"/>
        <item x="5"/>
        <item t="default"/>
      </items>
    </pivotField>
  </pivotFields>
  <rowFields>
    <field x="0"/>
  </rowFields>
  <dataFields>
    <dataField name="SUM of Niveau " fld="2" baseField="0"/>
  </dataFields>
</pivotTableDefinition>
</file>

<file path=xl/pivotTables/pivotTable3.xml><?xml version="1.0" encoding="utf-8"?>
<pivotTableDefinition xmlns="http://schemas.openxmlformats.org/spreadsheetml/2006/main" name="Dashboard Dora" cacheId="1" dataCaption="" compact="0" compactData="0">
  <location ref="A47:H61" firstHeaderRow="0" firstDataRow="1" firstDataCol="1"/>
  <pivotFields>
    <pivotField name="Domaine" compact="0" outline="0" multipleItemSelectionAllowed="1" showAll="0">
      <items>
        <item x="0"/>
        <item x="1"/>
        <item x="2"/>
        <item x="3"/>
        <item x="4"/>
        <item x="5"/>
        <item x="6"/>
        <item t="default"/>
      </items>
    </pivotField>
    <pivotField name="ID Contrô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Exigence / contrô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escription simp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escription complè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ype d’actif" axis="axisRow" compact="0" outline="0" multipleItemSelectionAllowed="1" showAll="0" sortType="ascending">
      <items>
        <item x="6"/>
        <item x="7"/>
        <item x="3"/>
        <item x="2"/>
        <item x="4"/>
        <item x="0"/>
        <item x="11"/>
        <item x="5"/>
        <item x="9"/>
        <item x="10"/>
        <item x="1"/>
        <item x="8"/>
        <item t="default"/>
      </items>
    </pivotField>
    <pivotField name="Fonction sécurité" compact="0" outline="0" multipleItemSelectionAllowed="1" showAll="0">
      <items>
        <item x="0"/>
        <item x="1"/>
        <item x="2"/>
        <item x="3"/>
        <item x="4"/>
        <item x="5"/>
        <item x="6"/>
        <item x="7"/>
        <item x="8"/>
        <item x="9"/>
        <item x="10"/>
        <item x="11"/>
        <item x="12"/>
        <item x="13"/>
        <item x="14"/>
        <item x="15"/>
        <item t="default"/>
      </items>
    </pivotField>
    <pivotField name="Preuve attend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Niveau de maturité" axis="axisCol" compact="0" outline="0" multipleItemSelectionAllowed="1" showAll="0" sortType="ascending">
      <items>
        <item x="3"/>
        <item x="1"/>
        <item x="4"/>
        <item x="2"/>
        <item x="0"/>
        <item x="5"/>
        <item t="default"/>
      </items>
    </pivotField>
    <pivotField name="Description du niveau" compact="0" outline="0" multipleItemSelectionAllowed="1" showAll="0">
      <items>
        <item x="0"/>
        <item x="1"/>
        <item x="2"/>
        <item x="3"/>
        <item x="4"/>
        <item x="5"/>
        <item t="default"/>
      </items>
    </pivotField>
    <pivotField name="Risque encouru" compact="0" outline="0" multipleItemSelectionAllowed="1" showAll="0">
      <items>
        <item x="0"/>
        <item x="1"/>
        <item x="2"/>
        <item x="3"/>
        <item x="4"/>
        <item x="5"/>
        <item x="6"/>
        <item x="7"/>
        <item x="8"/>
        <item t="default"/>
      </items>
    </pivotField>
    <pivotField name="Commentaire " compact="0" outline="0" multipleItemSelectionAllowed="1" showAll="0">
      <items>
        <item x="0"/>
        <item t="default"/>
      </items>
    </pivotField>
  </pivotFields>
  <rowFields>
    <field x="5"/>
  </rowFields>
  <colFields>
    <field x="8"/>
  </colFields>
  <dataFields>
    <dataField name="Nombre" fld="1" subtotal="count" baseField="0"/>
  </dataFields>
  <pivotTableStyleInfo name="Google Sheets Pivot Table Style" showRowHeaders="1" showColHeaders="1" showLastColumn="1"/>
</pivotTableDefinition>
</file>

<file path=xl/pivotTables/pivotTable4.xml><?xml version="1.0" encoding="utf-8"?>
<pivotTableDefinition xmlns="http://schemas.openxmlformats.org/spreadsheetml/2006/main" name="TCD CIS Controls" cacheId="2" dataCaption="" compact="0" compactData="0">
  <location ref="A1:H21" firstHeaderRow="0" firstDataRow="1" firstDataCol="1"/>
  <pivotFields>
    <pivotField name="Contrôle CIS" compact="0" outline="0" multipleItemSelectionAllowed="1" showAll="0">
      <items>
        <item x="0"/>
        <item x="1"/>
        <item x="2"/>
        <item x="3"/>
        <item x="4"/>
        <item x="5"/>
        <item x="6"/>
        <item x="7"/>
        <item x="8"/>
        <item x="9"/>
        <item x="10"/>
        <item x="11"/>
        <item x="12"/>
        <item x="13"/>
        <item x="14"/>
        <item x="15"/>
        <item x="16"/>
        <item x="17"/>
        <item x="18"/>
        <item t="default"/>
      </items>
    </pivotField>
    <pivotField name="contrôle cis2" axis="axisRow" compact="0" outline="0" multipleItemSelectionAllowed="1" showAll="0" sortType="ascending">
      <items>
        <item x="3"/>
        <item x="9"/>
        <item x="6"/>
        <item x="11"/>
        <item x="16"/>
        <item x="4"/>
        <item x="7"/>
        <item x="14"/>
        <item x="5"/>
        <item x="1"/>
        <item x="0"/>
        <item x="2"/>
        <item x="8"/>
        <item x="10"/>
        <item x="15"/>
        <item x="13"/>
        <item x="12"/>
        <item x="17"/>
        <item t="default"/>
      </items>
    </pivotField>
    <pivotField name="ID Contrôle" compact="0" outline="0" multipleItemSelectionAllowed="1" showAll="0">
      <items>
        <item x="0"/>
        <item x="1"/>
        <item x="2"/>
        <item x="3"/>
        <item x="4"/>
        <item x="5"/>
        <item x="6"/>
        <item x="7"/>
        <item x="8"/>
        <item x="9"/>
        <item x="10"/>
        <item x="11"/>
        <item x="12"/>
        <item x="13"/>
        <item x="14"/>
        <item x="15"/>
        <item x="16"/>
        <item x="17"/>
        <item t="default"/>
      </items>
    </pivotField>
    <pivotField name="ID Mesur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id mesur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lè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ype d'actifs" compact="0" outline="0" multipleItemSelectionAllowed="1" showAll="0">
      <items>
        <item x="0"/>
        <item x="1"/>
        <item x="2"/>
        <item x="3"/>
        <item x="4"/>
        <item x="5"/>
        <item x="6"/>
        <item x="7"/>
        <item x="8"/>
        <item x="9"/>
        <item x="10"/>
        <item x="11"/>
        <item x="12"/>
        <item x="13"/>
        <item x="14"/>
        <item x="15"/>
        <item x="16"/>
        <item x="17"/>
        <item t="default"/>
      </items>
    </pivotField>
    <pivotField name="Fonction de Sécurité" compact="0" outline="0" multipleItemSelectionAllowed="1" showAll="0">
      <items>
        <item x="0"/>
        <item x="1"/>
        <item x="2"/>
        <item x="3"/>
        <item x="4"/>
        <item t="default"/>
      </items>
    </pivotField>
    <pivotField name="Groupe (IG)" compact="0" outline="0" multipleItemSelectionAllowed="1" showAll="0">
      <items>
        <item x="0"/>
        <item x="1"/>
        <item x="2"/>
        <item t="default"/>
      </items>
    </pivotField>
    <pivotField name="Niveau de Maturité" axis="axisCol" compact="0" outline="0" multipleItemSelectionAllowed="1" showAll="0" sortType="ascending">
      <items>
        <item x="4"/>
        <item x="1"/>
        <item x="3"/>
        <item x="5"/>
        <item x="2"/>
        <item x="0"/>
        <item t="default"/>
      </items>
    </pivotField>
    <pivotField name="Preuves / Commentaires" compact="0" outline="0" multipleItemSelectionAllowed="1" showAll="0">
      <items>
        <item x="0"/>
        <item x="1"/>
        <item x="2"/>
        <item x="3"/>
        <item x="4"/>
        <item x="5"/>
        <item x="6"/>
        <item x="7"/>
        <item x="8"/>
        <item x="9"/>
        <item x="10"/>
        <item x="11"/>
        <item x="12"/>
        <item x="13"/>
        <item x="14"/>
        <item t="default"/>
      </items>
    </pivotField>
    <pivotField name="Recommendation" compact="0" outline="0" multipleItemSelectionAllowed="1" showAll="0">
      <items>
        <item x="0"/>
        <item x="1"/>
        <item x="2"/>
        <item x="3"/>
        <item x="4"/>
        <item x="5"/>
        <item x="6"/>
        <item x="7"/>
        <item x="8"/>
        <item x="9"/>
        <item x="10"/>
        <item x="11"/>
        <item x="12"/>
        <item x="13"/>
        <item x="14"/>
        <item t="default"/>
      </items>
    </pivotField>
  </pivotFields>
  <rowFields>
    <field x="1"/>
  </rowFields>
  <colFields>
    <field x="10"/>
  </colFields>
  <dataFields>
    <dataField name="COUNTA of ID Mesure" fld="3" subtotal="count" baseField="0"/>
  </dataFields>
</pivotTableDefinition>
</file>

<file path=xl/pivotTables/pivotTable5.xml><?xml version="1.0" encoding="utf-8"?>
<pivotTableDefinition xmlns="http://schemas.openxmlformats.org/spreadsheetml/2006/main" name="TCD CIS Controls 2" cacheId="2" dataCaption="" rowGrandTotals="0" colGrandTotals="0" compact="0" compactData="0">
  <location ref="M1:S5" firstHeaderRow="0" firstDataRow="1" firstDataCol="1"/>
  <pivotFields>
    <pivotField name="Contrôle CIS" compact="0" outline="0" multipleItemSelectionAllowed="1" showAll="0">
      <items>
        <item x="0"/>
        <item x="1"/>
        <item x="2"/>
        <item x="3"/>
        <item x="4"/>
        <item x="5"/>
        <item x="6"/>
        <item x="7"/>
        <item x="8"/>
        <item x="9"/>
        <item x="10"/>
        <item x="11"/>
        <item x="12"/>
        <item x="13"/>
        <item x="14"/>
        <item x="15"/>
        <item x="16"/>
        <item x="17"/>
        <item x="18"/>
        <item t="default"/>
      </items>
    </pivotField>
    <pivotField name="contrôle cis2" compact="0" outline="0" multipleItemSelectionAllowed="1" showAll="0">
      <items>
        <item x="0"/>
        <item x="1"/>
        <item x="2"/>
        <item x="3"/>
        <item x="4"/>
        <item x="5"/>
        <item x="6"/>
        <item x="7"/>
        <item x="8"/>
        <item x="9"/>
        <item x="10"/>
        <item x="11"/>
        <item x="12"/>
        <item x="13"/>
        <item x="14"/>
        <item x="15"/>
        <item x="16"/>
        <item x="17"/>
        <item t="default"/>
      </items>
    </pivotField>
    <pivotField name="ID Contrôle" compact="0" outline="0" multipleItemSelectionAllowed="1" showAll="0">
      <items>
        <item x="0"/>
        <item x="1"/>
        <item x="2"/>
        <item x="3"/>
        <item x="4"/>
        <item x="5"/>
        <item x="6"/>
        <item x="7"/>
        <item x="8"/>
        <item x="9"/>
        <item x="10"/>
        <item x="11"/>
        <item x="12"/>
        <item x="13"/>
        <item x="14"/>
        <item x="15"/>
        <item x="16"/>
        <item x="17"/>
        <item t="default"/>
      </items>
    </pivotField>
    <pivotField name="ID Mesur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id mesur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lè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ype d'actifs" compact="0" outline="0" multipleItemSelectionAllowed="1" showAll="0">
      <items>
        <item x="0"/>
        <item x="1"/>
        <item x="2"/>
        <item x="3"/>
        <item x="4"/>
        <item x="5"/>
        <item x="6"/>
        <item x="7"/>
        <item x="8"/>
        <item x="9"/>
        <item x="10"/>
        <item x="11"/>
        <item x="12"/>
        <item x="13"/>
        <item x="14"/>
        <item x="15"/>
        <item x="16"/>
        <item x="17"/>
        <item t="default"/>
      </items>
    </pivotField>
    <pivotField name="Fonction de Sécurité" compact="0" outline="0" multipleItemSelectionAllowed="1" showAll="0">
      <items>
        <item x="0"/>
        <item x="1"/>
        <item x="2"/>
        <item x="3"/>
        <item x="4"/>
        <item t="default"/>
      </items>
    </pivotField>
    <pivotField name="Groupe (IG)" axis="axisRow" compact="0" outline="0" multipleItemSelectionAllowed="1" showAll="0" sortType="ascending">
      <items>
        <item x="0"/>
        <item x="1"/>
        <item x="2"/>
        <item t="default"/>
      </items>
    </pivotField>
    <pivotField name="Niveau de Maturité" axis="axisCol" compact="0" outline="0" multipleItemSelectionAllowed="1" showAll="0" sortType="ascending">
      <items>
        <item x="4"/>
        <item x="1"/>
        <item x="3"/>
        <item x="5"/>
        <item x="2"/>
        <item x="0"/>
        <item t="default"/>
      </items>
    </pivotField>
    <pivotField name="Preuves / Commentaires" compact="0" outline="0" multipleItemSelectionAllowed="1" showAll="0">
      <items>
        <item x="0"/>
        <item x="1"/>
        <item x="2"/>
        <item x="3"/>
        <item x="4"/>
        <item x="5"/>
        <item x="6"/>
        <item x="7"/>
        <item x="8"/>
        <item x="9"/>
        <item x="10"/>
        <item x="11"/>
        <item x="12"/>
        <item x="13"/>
        <item x="14"/>
        <item t="default"/>
      </items>
    </pivotField>
    <pivotField name="Recommendation" compact="0" outline="0" multipleItemSelectionAllowed="1" showAll="0">
      <items>
        <item x="0"/>
        <item x="1"/>
        <item x="2"/>
        <item x="3"/>
        <item x="4"/>
        <item x="5"/>
        <item x="6"/>
        <item x="7"/>
        <item x="8"/>
        <item x="9"/>
        <item x="10"/>
        <item x="11"/>
        <item x="12"/>
        <item x="13"/>
        <item x="14"/>
        <item t="default"/>
      </items>
    </pivotField>
  </pivotFields>
  <rowFields>
    <field x="9"/>
  </rowFields>
  <colFields>
    <field x="10"/>
  </colFields>
  <dataFields>
    <dataField name="COUNTA of ID Mesure" fld="3" subtotal="count" baseField="0"/>
  </dataFields>
</pivotTableDefinition>
</file>

<file path=xl/pivotTables/pivotTable6.xml><?xml version="1.0" encoding="utf-8"?>
<pivotTableDefinition xmlns="http://schemas.openxmlformats.org/spreadsheetml/2006/main" name="Dashboard CIS Controls" cacheId="2" dataCaption="" rowGrandTotals="0" colGrandTotals="0" compact="0" compactData="0">
  <location ref="J29:P33" firstHeaderRow="0" firstDataRow="1" firstDataCol="1"/>
  <pivotFields>
    <pivotField name="Contrôle CIS" compact="0" outline="0" multipleItemSelectionAllowed="1" showAll="0">
      <items>
        <item x="0"/>
        <item x="1"/>
        <item x="2"/>
        <item x="3"/>
        <item x="4"/>
        <item x="5"/>
        <item x="6"/>
        <item x="7"/>
        <item x="8"/>
        <item x="9"/>
        <item x="10"/>
        <item x="11"/>
        <item x="12"/>
        <item x="13"/>
        <item x="14"/>
        <item x="15"/>
        <item x="16"/>
        <item x="17"/>
        <item x="18"/>
        <item t="default"/>
      </items>
    </pivotField>
    <pivotField name="contrôle cis2" compact="0" outline="0" multipleItemSelectionAllowed="1" showAll="0">
      <items>
        <item x="0"/>
        <item x="1"/>
        <item x="2"/>
        <item x="3"/>
        <item x="4"/>
        <item x="5"/>
        <item x="6"/>
        <item x="7"/>
        <item x="8"/>
        <item x="9"/>
        <item x="10"/>
        <item x="11"/>
        <item x="12"/>
        <item x="13"/>
        <item x="14"/>
        <item x="15"/>
        <item x="16"/>
        <item x="17"/>
        <item t="default"/>
      </items>
    </pivotField>
    <pivotField name="ID Contrôle" compact="0" outline="0" multipleItemSelectionAllowed="1" showAll="0">
      <items>
        <item x="0"/>
        <item x="1"/>
        <item x="2"/>
        <item x="3"/>
        <item x="4"/>
        <item x="5"/>
        <item x="6"/>
        <item x="7"/>
        <item x="8"/>
        <item x="9"/>
        <item x="10"/>
        <item x="11"/>
        <item x="12"/>
        <item x="13"/>
        <item x="14"/>
        <item x="15"/>
        <item x="16"/>
        <item x="17"/>
        <item t="default"/>
      </items>
    </pivotField>
    <pivotField name="ID Mesure"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id mesur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lè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ype d'actifs" compact="0" outline="0" multipleItemSelectionAllowed="1" showAll="0">
      <items>
        <item x="0"/>
        <item x="1"/>
        <item x="2"/>
        <item x="3"/>
        <item x="4"/>
        <item x="5"/>
        <item x="6"/>
        <item x="7"/>
        <item x="8"/>
        <item x="9"/>
        <item x="10"/>
        <item x="11"/>
        <item x="12"/>
        <item x="13"/>
        <item x="14"/>
        <item x="15"/>
        <item x="16"/>
        <item x="17"/>
        <item t="default"/>
      </items>
    </pivotField>
    <pivotField name="Fonction de Sécurité" compact="0" outline="0" multipleItemSelectionAllowed="1" showAll="0">
      <items>
        <item x="0"/>
        <item x="1"/>
        <item x="2"/>
        <item x="3"/>
        <item x="4"/>
        <item t="default"/>
      </items>
    </pivotField>
    <pivotField name="Groupe (IG)" axis="axisRow" compact="0" outline="0" multipleItemSelectionAllowed="1" showAll="0" sortType="ascending">
      <items>
        <item x="0"/>
        <item x="1"/>
        <item x="2"/>
        <item t="default"/>
      </items>
    </pivotField>
    <pivotField name="Niveau de Maturité" axis="axisCol" compact="0" outline="0" multipleItemSelectionAllowed="1" showAll="0" sortType="ascending">
      <items>
        <item x="4"/>
        <item x="1"/>
        <item x="3"/>
        <item x="5"/>
        <item x="2"/>
        <item x="0"/>
        <item t="default"/>
      </items>
    </pivotField>
    <pivotField name="Preuves / Commentaires" compact="0" outline="0" multipleItemSelectionAllowed="1" showAll="0">
      <items>
        <item x="0"/>
        <item x="1"/>
        <item x="2"/>
        <item x="3"/>
        <item x="4"/>
        <item x="5"/>
        <item x="6"/>
        <item x="7"/>
        <item x="8"/>
        <item x="9"/>
        <item x="10"/>
        <item x="11"/>
        <item x="12"/>
        <item x="13"/>
        <item x="14"/>
        <item t="default"/>
      </items>
    </pivotField>
    <pivotField name="Recommendation" compact="0" outline="0" multipleItemSelectionAllowed="1" showAll="0">
      <items>
        <item x="0"/>
        <item x="1"/>
        <item x="2"/>
        <item x="3"/>
        <item x="4"/>
        <item x="5"/>
        <item x="6"/>
        <item x="7"/>
        <item x="8"/>
        <item x="9"/>
        <item x="10"/>
        <item x="11"/>
        <item x="12"/>
        <item x="13"/>
        <item x="14"/>
        <item t="default"/>
      </items>
    </pivotField>
  </pivotFields>
  <rowFields>
    <field x="9"/>
  </rowFields>
  <colFields>
    <field x="10"/>
  </colFields>
  <dataFields>
    <dataField name="COUNTA of ID Mesure" fld="3"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ntrôle CIS">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rôle CIS_1" cache="SlicerCache_Table_1_Col_1" caption="Contrôle CIS"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rôle CIS_2" cache="SlicerCache_Table_1_Col_1" caption="Contrôle CIS" rowHeight="247650"/>
</x14:slicers>
</file>

<file path=xl/tables/table1.xml><?xml version="1.0" encoding="utf-8"?>
<table xmlns="http://schemas.openxmlformats.org/spreadsheetml/2006/main" ref="A2:H20" displayName="Table_1" name="Table_1" id="1">
  <autoFilter ref="$A$2:$H$20"/>
  <tableColumns count="8">
    <tableColumn name="Contrôle CIS" id="1"/>
    <tableColumn name="1 - Insuffisant" id="2"/>
    <tableColumn name="2 - Émergent" id="3"/>
    <tableColumn name="3 - Intermédiaire" id="4"/>
    <tableColumn name="4 - Confirmé" id="5"/>
    <tableColumn name="5 - Optimal" id="6"/>
    <tableColumn name="Non applicable" id="7"/>
    <tableColumn name="Total général"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messervices.cyber.gouv.fr/documents-guides/guide_hygiene_informatique_anssi.pdf" TargetMode="External"/><Relationship Id="rId20" Type="http://schemas.openxmlformats.org/officeDocument/2006/relationships/hyperlink" Target="https://messervices.cyber.gouv.fr/documents-guides/guide_hygiene_informatique_anssi.pdf" TargetMode="External"/><Relationship Id="rId42" Type="http://schemas.openxmlformats.org/officeDocument/2006/relationships/hyperlink" Target="https://messervices.cyber.gouv.fr/documents-guides/guide_hygiene_informatique_anssi.pdf" TargetMode="External"/><Relationship Id="rId41" Type="http://schemas.openxmlformats.org/officeDocument/2006/relationships/hyperlink" Target="https://messervices.cyber.gouv.fr/documents-guides/guide_hygiene_informatique_anssi.pdf" TargetMode="External"/><Relationship Id="rId22" Type="http://schemas.openxmlformats.org/officeDocument/2006/relationships/hyperlink" Target="https://messervices.cyber.gouv.fr/documents-guides/guide_hygiene_informatique_anssi.pdf" TargetMode="External"/><Relationship Id="rId44" Type="http://schemas.openxmlformats.org/officeDocument/2006/relationships/hyperlink" Target="https://messervices.cyber.gouv.fr/documents-guides/guide_hygiene_informatique_anssi.pdf" TargetMode="External"/><Relationship Id="rId21" Type="http://schemas.openxmlformats.org/officeDocument/2006/relationships/hyperlink" Target="https://messervices.cyber.gouv.fr/documents-guides/guide_hygiene_informatique_anssi.pdf" TargetMode="External"/><Relationship Id="rId43" Type="http://schemas.openxmlformats.org/officeDocument/2006/relationships/hyperlink" Target="https://messervices.cyber.gouv.fr/documents-guides/guide_hygiene_informatique_anssi.pdf" TargetMode="External"/><Relationship Id="rId24" Type="http://schemas.openxmlformats.org/officeDocument/2006/relationships/hyperlink" Target="https://messervices.cyber.gouv.fr/documents-guides/guide_hygiene_informatique_anssi.pdf" TargetMode="External"/><Relationship Id="rId23" Type="http://schemas.openxmlformats.org/officeDocument/2006/relationships/hyperlink" Target="https://messervices.cyber.gouv.fr/documents-guides/guide_hygiene_informatique_anssi.pdf" TargetMode="External"/><Relationship Id="rId45" Type="http://schemas.openxmlformats.org/officeDocument/2006/relationships/drawing" Target="../drawings/drawing2.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hyperlink" Target="https://messervices.cyber.gouv.fr/documents-guides/guide_hygiene_informatique_anssi.pdf" TargetMode="External"/><Relationship Id="rId4" Type="http://schemas.openxmlformats.org/officeDocument/2006/relationships/hyperlink" Target="https://messervices.cyber.gouv.fr/documents-guides/guide_hygiene_informatique_anssi.pdf" TargetMode="External"/><Relationship Id="rId9" Type="http://schemas.openxmlformats.org/officeDocument/2006/relationships/hyperlink" Target="https://messervices.cyber.gouv.fr/documents-guides/guide_hygiene_informatique_anssi.pdf" TargetMode="External"/><Relationship Id="rId26" Type="http://schemas.openxmlformats.org/officeDocument/2006/relationships/hyperlink" Target="https://messervices.cyber.gouv.fr/documents-guides/guide_hygiene_informatique_anssi.pdf" TargetMode="External"/><Relationship Id="rId25" Type="http://schemas.openxmlformats.org/officeDocument/2006/relationships/hyperlink" Target="https://messervices.cyber.gouv.fr/documents-guides/guide_hygiene_informatique_anssi.pdf" TargetMode="External"/><Relationship Id="rId28" Type="http://schemas.openxmlformats.org/officeDocument/2006/relationships/hyperlink" Target="https://messervices.cyber.gouv.fr/documents-guides/guide_hygiene_informatique_anssi.pdf" TargetMode="External"/><Relationship Id="rId27" Type="http://schemas.openxmlformats.org/officeDocument/2006/relationships/hyperlink" Target="https://messervices.cyber.gouv.fr/documents-guides/guide_hygiene_informatique_anssi.pdf" TargetMode="External"/><Relationship Id="rId5" Type="http://schemas.openxmlformats.org/officeDocument/2006/relationships/hyperlink" Target="https://messervices.cyber.gouv.fr/documents-guides/guide_hygiene_informatique_anssi.pdf" TargetMode="External"/><Relationship Id="rId6" Type="http://schemas.openxmlformats.org/officeDocument/2006/relationships/hyperlink" Target="https://messervices.cyber.gouv.fr/documents-guides/guide_hygiene_informatique_anssi.pdf" TargetMode="External"/><Relationship Id="rId29" Type="http://schemas.openxmlformats.org/officeDocument/2006/relationships/hyperlink" Target="https://messervices.cyber.gouv.fr/documents-guides/guide_hygiene_informatique_anssi.pdf" TargetMode="External"/><Relationship Id="rId7" Type="http://schemas.openxmlformats.org/officeDocument/2006/relationships/hyperlink" Target="https://messervices.cyber.gouv.fr/documents-guides/guide_hygiene_informatique_anssi.pdf" TargetMode="External"/><Relationship Id="rId8" Type="http://schemas.openxmlformats.org/officeDocument/2006/relationships/hyperlink" Target="https://messervices.cyber.gouv.fr/documents-guides/guide_hygiene_informatique_anssi.pdf" TargetMode="External"/><Relationship Id="rId31" Type="http://schemas.openxmlformats.org/officeDocument/2006/relationships/hyperlink" Target="https://messervices.cyber.gouv.fr/documents-guides/guide_hygiene_informatique_anssi.pdf" TargetMode="External"/><Relationship Id="rId30" Type="http://schemas.openxmlformats.org/officeDocument/2006/relationships/hyperlink" Target="https://messervices.cyber.gouv.fr/documents-guides/guide_hygiene_informatique_anssi.pdf" TargetMode="External"/><Relationship Id="rId11" Type="http://schemas.openxmlformats.org/officeDocument/2006/relationships/hyperlink" Target="https://messervices.cyber.gouv.fr/documents-guides/guide_hygiene_informatique_anssi.pdf" TargetMode="External"/><Relationship Id="rId33" Type="http://schemas.openxmlformats.org/officeDocument/2006/relationships/hyperlink" Target="https://messervices.cyber.gouv.fr/documents-guides/guide_hygiene_informatique_anssi.pdf" TargetMode="External"/><Relationship Id="rId10" Type="http://schemas.openxmlformats.org/officeDocument/2006/relationships/hyperlink" Target="https://messervices.cyber.gouv.fr/documents-guides/guide_hygiene_informatique_anssi.pdf" TargetMode="External"/><Relationship Id="rId32" Type="http://schemas.openxmlformats.org/officeDocument/2006/relationships/hyperlink" Target="https://messervices.cyber.gouv.fr/documents-guides/guide_hygiene_informatique_anssi.pdf" TargetMode="External"/><Relationship Id="rId13" Type="http://schemas.openxmlformats.org/officeDocument/2006/relationships/hyperlink" Target="https://messervices.cyber.gouv.fr/documents-guides/guide_hygiene_informatique_anssi.pdf" TargetMode="External"/><Relationship Id="rId35" Type="http://schemas.openxmlformats.org/officeDocument/2006/relationships/hyperlink" Target="https://messervices.cyber.gouv.fr/documents-guides/guide_hygiene_informatique_anssi.pdf" TargetMode="External"/><Relationship Id="rId12" Type="http://schemas.openxmlformats.org/officeDocument/2006/relationships/hyperlink" Target="https://messervices.cyber.gouv.fr/documents-guides/guide_hygiene_informatique_anssi.pdf" TargetMode="External"/><Relationship Id="rId34" Type="http://schemas.openxmlformats.org/officeDocument/2006/relationships/hyperlink" Target="https://messervices.cyber.gouv.fr/documents-guides/guide_hygiene_informatique_anssi.pdf" TargetMode="External"/><Relationship Id="rId15" Type="http://schemas.openxmlformats.org/officeDocument/2006/relationships/hyperlink" Target="https://messervices.cyber.gouv.fr/documents-guides/guide_hygiene_informatique_anssi.pdf" TargetMode="External"/><Relationship Id="rId37" Type="http://schemas.openxmlformats.org/officeDocument/2006/relationships/hyperlink" Target="https://messervices.cyber.gouv.fr/documents-guides/guide_hygiene_informatique_anssi.pdf" TargetMode="External"/><Relationship Id="rId14" Type="http://schemas.openxmlformats.org/officeDocument/2006/relationships/hyperlink" Target="https://messervices.cyber.gouv.fr/documents-guides/guide_hygiene_informatique_anssi.pdf" TargetMode="External"/><Relationship Id="rId36" Type="http://schemas.openxmlformats.org/officeDocument/2006/relationships/hyperlink" Target="https://messervices.cyber.gouv.fr/documents-guides/guide_hygiene_informatique_anssi.pdf" TargetMode="External"/><Relationship Id="rId17" Type="http://schemas.openxmlformats.org/officeDocument/2006/relationships/hyperlink" Target="https://messervices.cyber.gouv.fr/documents-guides/guide_hygiene_informatique_anssi.pdf" TargetMode="External"/><Relationship Id="rId39" Type="http://schemas.openxmlformats.org/officeDocument/2006/relationships/hyperlink" Target="https://messervices.cyber.gouv.fr/documents-guides/guide_hygiene_informatique_anssi.pdf" TargetMode="External"/><Relationship Id="rId16" Type="http://schemas.openxmlformats.org/officeDocument/2006/relationships/hyperlink" Target="https://messervices.cyber.gouv.fr/documents-guides/guide_hygiene_informatique_anssi.pdf" TargetMode="External"/><Relationship Id="rId38" Type="http://schemas.openxmlformats.org/officeDocument/2006/relationships/hyperlink" Target="https://messervices.cyber.gouv.fr/documents-guides/guide_hygiene_informatique_anssi.pdf" TargetMode="External"/><Relationship Id="rId19" Type="http://schemas.openxmlformats.org/officeDocument/2006/relationships/hyperlink" Target="https://messervices.cyber.gouv.fr/documents-guides/guide_hygiene_informatique_anssi.pdf" TargetMode="External"/><Relationship Id="rId18" Type="http://schemas.openxmlformats.org/officeDocument/2006/relationships/hyperlink" Target="https://messervices.cyber.gouv.fr/documents-guides/guide_hygiene_informatique_anssi.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9.xml"/><Relationship Id="rId5" Type="http://schemas.openxmlformats.org/officeDocument/2006/relationships/table" Target="../tables/table1.xml"/><Relationship Id="rId6"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0.xml"/><Relationship Id="rId3"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C721"/>
    <outlinePr summaryBelow="0" summaryRight="0"/>
  </sheetPr>
  <sheetViews>
    <sheetView workbookViewId="0"/>
  </sheetViews>
  <sheetFormatPr customHeight="1" defaultColWidth="12.63" defaultRowHeight="15.75"/>
  <cols>
    <col customWidth="1" min="1" max="1" width="42.25"/>
    <col customWidth="1" min="2" max="2" width="75.5"/>
    <col customWidth="1" min="3" max="3" width="44.63"/>
    <col customWidth="1" min="4" max="4" width="42.63"/>
  </cols>
  <sheetData>
    <row r="1" ht="32.25" customHeight="1">
      <c r="A1" s="1" t="s">
        <v>0</v>
      </c>
      <c r="B1" s="1" t="s">
        <v>1</v>
      </c>
      <c r="C1" s="1" t="s">
        <v>2</v>
      </c>
      <c r="D1" s="1" t="s">
        <v>3</v>
      </c>
    </row>
    <row r="2" ht="52.5" customHeight="1">
      <c r="A2" s="2">
        <v>1.0</v>
      </c>
      <c r="B2" s="3" t="s">
        <v>4</v>
      </c>
      <c r="C2" s="4" t="s">
        <v>5</v>
      </c>
      <c r="D2" s="5"/>
      <c r="E2" s="6"/>
      <c r="F2" s="6"/>
      <c r="G2" s="6"/>
      <c r="H2" s="6"/>
      <c r="I2" s="6"/>
      <c r="J2" s="6"/>
      <c r="K2" s="6"/>
      <c r="L2" s="6"/>
      <c r="M2" s="6"/>
      <c r="N2" s="6"/>
      <c r="O2" s="6"/>
      <c r="P2" s="6"/>
      <c r="Q2" s="6"/>
      <c r="R2" s="6"/>
      <c r="S2" s="6"/>
      <c r="T2" s="6"/>
      <c r="U2" s="6"/>
      <c r="V2" s="6"/>
      <c r="W2" s="6"/>
      <c r="X2" s="6"/>
    </row>
    <row r="3" ht="52.5" customHeight="1">
      <c r="A3" s="2">
        <v>2.0</v>
      </c>
      <c r="B3" s="7" t="s">
        <v>6</v>
      </c>
      <c r="C3" s="4" t="s">
        <v>7</v>
      </c>
      <c r="D3" s="8"/>
      <c r="E3" s="6"/>
      <c r="F3" s="6"/>
      <c r="G3" s="6"/>
      <c r="H3" s="6"/>
      <c r="I3" s="6"/>
      <c r="J3" s="6"/>
      <c r="K3" s="6"/>
      <c r="L3" s="6"/>
      <c r="M3" s="6"/>
      <c r="N3" s="6"/>
      <c r="O3" s="6"/>
      <c r="P3" s="6"/>
      <c r="Q3" s="6"/>
      <c r="R3" s="6"/>
      <c r="S3" s="6"/>
      <c r="T3" s="6"/>
      <c r="U3" s="6"/>
      <c r="V3" s="6"/>
      <c r="W3" s="6"/>
      <c r="X3" s="6"/>
    </row>
    <row r="4" ht="52.5" customHeight="1">
      <c r="A4" s="2">
        <v>3.0</v>
      </c>
      <c r="B4" s="7" t="s">
        <v>8</v>
      </c>
      <c r="C4" s="4" t="s">
        <v>9</v>
      </c>
      <c r="D4" s="9"/>
      <c r="E4" s="6"/>
      <c r="F4" s="6"/>
      <c r="G4" s="6"/>
      <c r="H4" s="6"/>
      <c r="I4" s="6"/>
      <c r="J4" s="6"/>
      <c r="K4" s="6"/>
      <c r="L4" s="6"/>
      <c r="M4" s="6"/>
      <c r="N4" s="6"/>
      <c r="O4" s="6"/>
      <c r="P4" s="6"/>
      <c r="Q4" s="6"/>
      <c r="R4" s="6"/>
      <c r="S4" s="6"/>
      <c r="T4" s="6"/>
      <c r="U4" s="6"/>
      <c r="V4" s="6"/>
      <c r="W4" s="6"/>
      <c r="X4" s="6"/>
    </row>
    <row r="5" ht="52.5" customHeight="1">
      <c r="A5" s="2">
        <v>4.0</v>
      </c>
      <c r="B5" s="7" t="s">
        <v>10</v>
      </c>
      <c r="C5" s="4" t="s">
        <v>11</v>
      </c>
      <c r="D5" s="10"/>
      <c r="E5" s="6"/>
      <c r="F5" s="6"/>
      <c r="G5" s="6"/>
      <c r="H5" s="6"/>
      <c r="I5" s="6"/>
      <c r="J5" s="6"/>
      <c r="K5" s="6"/>
      <c r="L5" s="6"/>
      <c r="M5" s="6"/>
      <c r="N5" s="6"/>
      <c r="O5" s="6"/>
      <c r="P5" s="6"/>
      <c r="Q5" s="6"/>
      <c r="R5" s="6"/>
      <c r="S5" s="6"/>
      <c r="T5" s="6"/>
      <c r="U5" s="6"/>
      <c r="V5" s="6"/>
      <c r="W5" s="6"/>
      <c r="X5" s="6"/>
    </row>
    <row r="6" ht="52.5" customHeight="1">
      <c r="A6" s="2">
        <v>5.0</v>
      </c>
      <c r="B6" s="7" t="s">
        <v>12</v>
      </c>
      <c r="C6" s="4" t="s">
        <v>13</v>
      </c>
      <c r="D6" s="11"/>
      <c r="E6" s="6"/>
      <c r="F6" s="6"/>
      <c r="G6" s="6"/>
      <c r="H6" s="6"/>
      <c r="I6" s="6"/>
      <c r="J6" s="6"/>
      <c r="K6" s="6"/>
      <c r="L6" s="6"/>
      <c r="M6" s="6"/>
      <c r="N6" s="6"/>
      <c r="O6" s="6"/>
      <c r="P6" s="6"/>
      <c r="Q6" s="6"/>
      <c r="R6" s="6"/>
      <c r="S6" s="6"/>
      <c r="T6" s="6"/>
      <c r="U6" s="6"/>
      <c r="V6" s="6"/>
      <c r="W6" s="6"/>
      <c r="X6" s="6"/>
    </row>
    <row r="7" ht="52.5" customHeight="1">
      <c r="A7" s="2" t="s">
        <v>14</v>
      </c>
      <c r="B7" s="7" t="s">
        <v>15</v>
      </c>
      <c r="C7" s="4" t="s">
        <v>16</v>
      </c>
      <c r="D7" s="12"/>
      <c r="E7" s="6"/>
      <c r="F7" s="6"/>
      <c r="G7" s="6"/>
      <c r="H7" s="6"/>
      <c r="I7" s="6"/>
      <c r="J7" s="6"/>
      <c r="K7" s="6"/>
      <c r="L7" s="6"/>
      <c r="M7" s="6"/>
      <c r="N7" s="6"/>
      <c r="O7" s="6"/>
      <c r="P7" s="6"/>
      <c r="Q7" s="6"/>
      <c r="R7" s="6"/>
      <c r="S7" s="6"/>
      <c r="T7" s="6"/>
      <c r="U7" s="6"/>
      <c r="V7" s="6"/>
      <c r="W7" s="6"/>
      <c r="X7" s="6"/>
    </row>
    <row r="8">
      <c r="B8" s="13"/>
    </row>
    <row r="32">
      <c r="A32" s="14" t="s">
        <v>17</v>
      </c>
      <c r="B32" s="14" t="s">
        <v>18</v>
      </c>
    </row>
    <row r="33">
      <c r="A33" s="14" t="s">
        <v>19</v>
      </c>
      <c r="B33" s="14" t="s">
        <v>20</v>
      </c>
    </row>
    <row r="34">
      <c r="A34" s="14" t="s">
        <v>21</v>
      </c>
      <c r="B34" s="14" t="s">
        <v>22</v>
      </c>
    </row>
    <row r="35">
      <c r="A35" s="14" t="s">
        <v>23</v>
      </c>
      <c r="B35" s="14" t="s">
        <v>24</v>
      </c>
    </row>
    <row r="36">
      <c r="A36" s="14" t="s">
        <v>25</v>
      </c>
      <c r="B36" s="14"/>
    </row>
    <row r="37">
      <c r="A37" s="14" t="s">
        <v>26</v>
      </c>
      <c r="B37"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B4A9"/>
    <outlinePr summaryBelow="0" summaryRight="0"/>
    <pageSetUpPr fitToPage="1"/>
  </sheetPr>
  <sheetViews>
    <sheetView workbookViewId="0"/>
  </sheetViews>
  <sheetFormatPr customHeight="1" defaultColWidth="12.63" defaultRowHeight="15.75"/>
  <cols>
    <col customWidth="1" min="1" max="1" width="51.13"/>
    <col customWidth="1" min="3" max="3" width="85.75"/>
    <col customWidth="1" min="4" max="4" width="97.0"/>
    <col customWidth="1" min="5" max="5" width="29.5"/>
    <col customWidth="1" min="6" max="6" width="43.63"/>
    <col customWidth="1" min="7" max="7" width="51.63"/>
    <col customWidth="1" min="8" max="8" width="26.63"/>
    <col customWidth="1" min="9" max="9" width="62.63"/>
    <col hidden="1" min="11" max="11" width="12.63"/>
  </cols>
  <sheetData>
    <row r="3" ht="60.0" customHeight="1">
      <c r="A3" s="15" t="s">
        <v>27</v>
      </c>
      <c r="B3" s="15" t="s">
        <v>28</v>
      </c>
      <c r="C3" s="15" t="s">
        <v>29</v>
      </c>
      <c r="D3" s="15" t="s">
        <v>30</v>
      </c>
      <c r="E3" s="15" t="s">
        <v>31</v>
      </c>
      <c r="F3" s="15" t="s">
        <v>32</v>
      </c>
      <c r="G3" s="15" t="s">
        <v>33</v>
      </c>
      <c r="H3" s="15" t="s">
        <v>34</v>
      </c>
      <c r="I3" s="15" t="s">
        <v>35</v>
      </c>
      <c r="K3" s="16" t="s">
        <v>36</v>
      </c>
    </row>
    <row r="4" ht="97.5" customHeight="1">
      <c r="A4" s="17" t="s">
        <v>37</v>
      </c>
      <c r="B4" s="18">
        <v>1.0</v>
      </c>
      <c r="C4" s="19" t="s">
        <v>38</v>
      </c>
      <c r="D4" s="20" t="s">
        <v>39</v>
      </c>
      <c r="E4" s="21" t="s">
        <v>40</v>
      </c>
      <c r="F4" s="22" t="s">
        <v>41</v>
      </c>
      <c r="G4" s="23" t="s">
        <v>42</v>
      </c>
      <c r="H4" s="18" t="s">
        <v>7</v>
      </c>
      <c r="I4" s="24" t="str">
        <f t="array" ref="I4">IF(H4="", "", XLOOKUP(H4, 'Echelle de maturité'!$C$2:$C$7, 'Echelle de maturité'!$B$2:$B$7, ""))</f>
        <v>Une prise de conscience de l'existence de risques cyber pour l'organisation et une volonté de mettre en place des premières mesures cyber pertinentes.</v>
      </c>
      <c r="K4" s="25" t="str">
        <f>IFERROR(__xludf.DUMMYFUNCTION("ARRAYFORMULA(LET(filled, SCAN("""", A4:A45, LAMBDA(acc, v, IF(v="""", acc, v))), IF(filled="""","""", TEXT(MATCH(filled, UNIQUE(FILTER(A4:A45, A4:A45&lt;&gt;"""")), 0), ""00"") &amp; "" - "" &amp; filled)))"),"01 - SENSIBILISER ET FORMER")</f>
        <v>01 - SENSIBILISER ET FORMER</v>
      </c>
    </row>
    <row r="5" ht="97.5" customHeight="1">
      <c r="A5" s="26"/>
      <c r="B5" s="18">
        <v>2.0</v>
      </c>
      <c r="C5" s="19" t="s">
        <v>43</v>
      </c>
      <c r="D5" s="20" t="s">
        <v>44</v>
      </c>
      <c r="E5" s="21" t="s">
        <v>40</v>
      </c>
      <c r="F5" s="22" t="s">
        <v>45</v>
      </c>
      <c r="G5" s="23" t="s">
        <v>46</v>
      </c>
      <c r="H5" s="18" t="s">
        <v>13</v>
      </c>
      <c r="I5" s="24" t="str">
        <f t="array" ref="I5">IF(H5="", "", XLOOKUP(H5, 'Echelle de maturité'!$C$2:$C$7, 'Echelle de maturité'!$B$2:$B$7, ""))</f>
        <v>Des objectifs de réduction des risques cyber intégrés à la stratégie de l'organisation. Des moyens humains, budgétaires conséquents, un plan d'action cyber exhaustif, adapté aux menaces stratégiques.</v>
      </c>
      <c r="K5" s="25" t="str">
        <f>IFERROR(__xludf.DUMMYFUNCTION("""COMPUTED_VALUE"""),"01 - SENSIBILISER ET FORMER")</f>
        <v>01 - SENSIBILISER ET FORMER</v>
      </c>
    </row>
    <row r="6" ht="97.5" customHeight="1">
      <c r="A6" s="27"/>
      <c r="B6" s="18">
        <v>3.0</v>
      </c>
      <c r="C6" s="19" t="s">
        <v>47</v>
      </c>
      <c r="D6" s="20" t="s">
        <v>48</v>
      </c>
      <c r="E6" s="21" t="s">
        <v>40</v>
      </c>
      <c r="F6" s="22" t="s">
        <v>49</v>
      </c>
      <c r="G6" s="23" t="s">
        <v>50</v>
      </c>
      <c r="H6" s="18" t="s">
        <v>13</v>
      </c>
      <c r="I6" s="24" t="str">
        <f t="array" ref="I6">IF(H6="", "", XLOOKUP(H6, 'Echelle de maturité'!$C$2:$C$7, 'Echelle de maturité'!$B$2:$B$7, ""))</f>
        <v>Des objectifs de réduction des risques cyber intégrés à la stratégie de l'organisation. Des moyens humains, budgétaires conséquents, un plan d'action cyber exhaustif, adapté aux menaces stratégiques.</v>
      </c>
      <c r="K6" s="25" t="str">
        <f>IFERROR(__xludf.DUMMYFUNCTION("""COMPUTED_VALUE"""),"01 - SENSIBILISER ET FORMER")</f>
        <v>01 - SENSIBILISER ET FORMER</v>
      </c>
    </row>
    <row r="7" ht="97.5" customHeight="1">
      <c r="A7" s="28" t="s">
        <v>51</v>
      </c>
      <c r="B7" s="18">
        <v>4.0</v>
      </c>
      <c r="C7" s="29" t="s">
        <v>52</v>
      </c>
      <c r="D7" s="30" t="s">
        <v>53</v>
      </c>
      <c r="E7" s="31" t="s">
        <v>40</v>
      </c>
      <c r="F7" s="32" t="s">
        <v>54</v>
      </c>
      <c r="G7" s="33" t="s">
        <v>55</v>
      </c>
      <c r="H7" s="18" t="s">
        <v>9</v>
      </c>
      <c r="I7" s="24" t="str">
        <f t="array" ref="I7">IF(H7="", "", XLOOKUP(H7, 'Echelle de maturité'!$C$2:$C$7, 'Echelle de maturité'!$B$2:$B$7, ""))</f>
        <v>Une conscience partagée des risques cyber pour l'organisation et la volonté de formaliser un plan d'action cyber complet tout en ajustant les moyens en conséquence.</v>
      </c>
      <c r="K7" s="25" t="str">
        <f>IFERROR(__xludf.DUMMYFUNCTION("""COMPUTED_VALUE"""),"02 - CONNAÎTRE LE SYSTÈME D’INFORMATION")</f>
        <v>02 - CONNAÎTRE LE SYSTÈME D’INFORMATION</v>
      </c>
    </row>
    <row r="8" ht="97.5" customHeight="1">
      <c r="A8" s="26"/>
      <c r="B8" s="18">
        <v>5.0</v>
      </c>
      <c r="C8" s="29" t="s">
        <v>56</v>
      </c>
      <c r="D8" s="30" t="s">
        <v>57</v>
      </c>
      <c r="E8" s="31" t="s">
        <v>40</v>
      </c>
      <c r="F8" s="34" t="s">
        <v>58</v>
      </c>
      <c r="G8" s="35" t="s">
        <v>59</v>
      </c>
      <c r="H8" s="18" t="s">
        <v>60</v>
      </c>
      <c r="I8" s="24" t="str">
        <f t="array" ref="I8">IF(H8="", "", XLOOKUP(H8, 'Echelle de maturité'!$C$2:$C$7, 'Echelle de maturité'!$B$2:$B$7, ""))</f>
        <v>Le critère ou l'exigence évalué n'est pas pertinent au regard des activités, du périmètre technique ou du cadre réglementaire de l'organisation.</v>
      </c>
      <c r="K8" s="25" t="str">
        <f>IFERROR(__xludf.DUMMYFUNCTION("""COMPUTED_VALUE"""),"02 - CONNAÎTRE LE SYSTÈME D’INFORMATION")</f>
        <v>02 - CONNAÎTRE LE SYSTÈME D’INFORMATION</v>
      </c>
    </row>
    <row r="9" ht="97.5" customHeight="1">
      <c r="A9" s="26"/>
      <c r="B9" s="18">
        <v>6.0</v>
      </c>
      <c r="C9" s="29" t="s">
        <v>61</v>
      </c>
      <c r="D9" s="30" t="s">
        <v>62</v>
      </c>
      <c r="E9" s="31" t="s">
        <v>40</v>
      </c>
      <c r="F9" s="32" t="s">
        <v>63</v>
      </c>
      <c r="G9" s="33" t="s">
        <v>64</v>
      </c>
      <c r="H9" s="18" t="s">
        <v>5</v>
      </c>
      <c r="I9" s="24" t="str">
        <f t="array" ref="I9">IF(H9="", "", XLOOKUP(H9, 'Echelle de maturité'!$C$2:$C$7, 'Echelle de maturité'!$B$2:$B$7, ""))</f>
        <v>Une conscience insuffisante des risques cyber pesant sur l'organisation. Pas ou peu de mesures spécifiques mises en oeuvre en matière de cybersécurité.</v>
      </c>
      <c r="K9" s="25" t="str">
        <f>IFERROR(__xludf.DUMMYFUNCTION("""COMPUTED_VALUE"""),"02 - CONNAÎTRE LE SYSTÈME D’INFORMATION")</f>
        <v>02 - CONNAÎTRE LE SYSTÈME D’INFORMATION</v>
      </c>
    </row>
    <row r="10" ht="97.5" customHeight="1">
      <c r="A10" s="27"/>
      <c r="B10" s="18">
        <v>7.0</v>
      </c>
      <c r="C10" s="29" t="s">
        <v>65</v>
      </c>
      <c r="D10" s="30" t="s">
        <v>66</v>
      </c>
      <c r="E10" s="31" t="s">
        <v>40</v>
      </c>
      <c r="F10" s="32" t="s">
        <v>67</v>
      </c>
      <c r="G10" s="33" t="s">
        <v>68</v>
      </c>
      <c r="H10" s="18" t="s">
        <v>13</v>
      </c>
      <c r="I10" s="24" t="str">
        <f t="array" ref="I10">IF(H10="", "", XLOOKUP(H10, 'Echelle de maturité'!$C$2:$C$7, 'Echelle de maturité'!$B$2:$B$7, ""))</f>
        <v>Des objectifs de réduction des risques cyber intégrés à la stratégie de l'organisation. Des moyens humains, budgétaires conséquents, un plan d'action cyber exhaustif, adapté aux menaces stratégiques.</v>
      </c>
      <c r="K10" s="25" t="str">
        <f>IFERROR(__xludf.DUMMYFUNCTION("""COMPUTED_VALUE"""),"02 - CONNAÎTRE LE SYSTÈME D’INFORMATION")</f>
        <v>02 - CONNAÎTRE LE SYSTÈME D’INFORMATION</v>
      </c>
    </row>
    <row r="11" ht="97.5" customHeight="1">
      <c r="A11" s="36" t="s">
        <v>69</v>
      </c>
      <c r="B11" s="18">
        <v>8.0</v>
      </c>
      <c r="C11" s="37" t="s">
        <v>70</v>
      </c>
      <c r="D11" s="38" t="s">
        <v>71</v>
      </c>
      <c r="E11" s="39" t="s">
        <v>40</v>
      </c>
      <c r="F11" s="40" t="s">
        <v>72</v>
      </c>
      <c r="G11" s="41" t="s">
        <v>73</v>
      </c>
      <c r="H11" s="18" t="s">
        <v>11</v>
      </c>
      <c r="I11" s="24" t="str">
        <f t="array" ref="I11">IF(H11="", "", XLOOKUP(H11, 'Echelle de maturité'!$C$2:$C$7, 'Echelle de maturité'!$B$2:$B$7, ""))</f>
        <v>Une cartographie précise de ses risques cyber pour l'organisation, un plan d'action cyber approfondi et des moyens humains et budgétaires dédiés.</v>
      </c>
      <c r="K11" s="25" t="str">
        <f>IFERROR(__xludf.DUMMYFUNCTION("""COMPUTED_VALUE"""),"03 - AUTHENTIFIER ET CONTROLER LES ACCÈS")</f>
        <v>03 - AUTHENTIFIER ET CONTROLER LES ACCÈS</v>
      </c>
    </row>
    <row r="12" ht="97.5" customHeight="1">
      <c r="A12" s="26"/>
      <c r="B12" s="18">
        <v>9.0</v>
      </c>
      <c r="C12" s="37" t="s">
        <v>74</v>
      </c>
      <c r="D12" s="38" t="s">
        <v>75</v>
      </c>
      <c r="E12" s="39" t="s">
        <v>40</v>
      </c>
      <c r="F12" s="40" t="s">
        <v>76</v>
      </c>
      <c r="G12" s="41" t="s">
        <v>77</v>
      </c>
      <c r="H12" s="18" t="s">
        <v>7</v>
      </c>
      <c r="I12" s="24" t="str">
        <f t="array" ref="I12">IF(H12="", "", XLOOKUP(H12, 'Echelle de maturité'!$C$2:$C$7, 'Echelle de maturité'!$B$2:$B$7, ""))</f>
        <v>Une prise de conscience de l'existence de risques cyber pour l'organisation et une volonté de mettre en place des premières mesures cyber pertinentes.</v>
      </c>
      <c r="K12" s="25" t="str">
        <f>IFERROR(__xludf.DUMMYFUNCTION("""COMPUTED_VALUE"""),"03 - AUTHENTIFIER ET CONTROLER LES ACCÈS")</f>
        <v>03 - AUTHENTIFIER ET CONTROLER LES ACCÈS</v>
      </c>
    </row>
    <row r="13" ht="97.5" customHeight="1">
      <c r="A13" s="26"/>
      <c r="B13" s="18">
        <v>10.0</v>
      </c>
      <c r="C13" s="37" t="s">
        <v>78</v>
      </c>
      <c r="D13" s="38" t="s">
        <v>79</v>
      </c>
      <c r="E13" s="39" t="s">
        <v>40</v>
      </c>
      <c r="F13" s="40" t="s">
        <v>80</v>
      </c>
      <c r="G13" s="41" t="s">
        <v>81</v>
      </c>
      <c r="H13" s="18" t="s">
        <v>11</v>
      </c>
      <c r="I13" s="24" t="str">
        <f t="array" ref="I13">IF(H13="", "", XLOOKUP(H13, 'Echelle de maturité'!$C$2:$C$7, 'Echelle de maturité'!$B$2:$B$7, ""))</f>
        <v>Une cartographie précise de ses risques cyber pour l'organisation, un plan d'action cyber approfondi et des moyens humains et budgétaires dédiés.</v>
      </c>
      <c r="K13" s="25" t="str">
        <f>IFERROR(__xludf.DUMMYFUNCTION("""COMPUTED_VALUE"""),"03 - AUTHENTIFIER ET CONTROLER LES ACCÈS")</f>
        <v>03 - AUTHENTIFIER ET CONTROLER LES ACCÈS</v>
      </c>
    </row>
    <row r="14" ht="97.5" customHeight="1">
      <c r="A14" s="26"/>
      <c r="B14" s="18">
        <v>11.0</v>
      </c>
      <c r="C14" s="37" t="s">
        <v>82</v>
      </c>
      <c r="D14" s="38" t="s">
        <v>83</v>
      </c>
      <c r="E14" s="39" t="s">
        <v>40</v>
      </c>
      <c r="F14" s="40" t="s">
        <v>84</v>
      </c>
      <c r="G14" s="41" t="s">
        <v>85</v>
      </c>
      <c r="H14" s="18" t="s">
        <v>5</v>
      </c>
      <c r="I14" s="24" t="str">
        <f t="array" ref="I14">IF(H14="", "", XLOOKUP(H14, 'Echelle de maturité'!$C$2:$C$7, 'Echelle de maturité'!$B$2:$B$7, ""))</f>
        <v>Une conscience insuffisante des risques cyber pesant sur l'organisation. Pas ou peu de mesures spécifiques mises en oeuvre en matière de cybersécurité.</v>
      </c>
      <c r="K14" s="25" t="str">
        <f>IFERROR(__xludf.DUMMYFUNCTION("""COMPUTED_VALUE"""),"03 - AUTHENTIFIER ET CONTROLER LES ACCÈS")</f>
        <v>03 - AUTHENTIFIER ET CONTROLER LES ACCÈS</v>
      </c>
    </row>
    <row r="15" ht="97.5" customHeight="1">
      <c r="A15" s="26"/>
      <c r="B15" s="18">
        <v>12.0</v>
      </c>
      <c r="C15" s="37" t="s">
        <v>86</v>
      </c>
      <c r="D15" s="38" t="s">
        <v>87</v>
      </c>
      <c r="E15" s="39" t="s">
        <v>40</v>
      </c>
      <c r="F15" s="40" t="s">
        <v>88</v>
      </c>
      <c r="G15" s="41" t="s">
        <v>89</v>
      </c>
      <c r="H15" s="18" t="s">
        <v>60</v>
      </c>
      <c r="I15" s="24" t="str">
        <f t="array" ref="I15">IF(H15="", "", XLOOKUP(H15, 'Echelle de maturité'!$C$2:$C$7, 'Echelle de maturité'!$B$2:$B$7, ""))</f>
        <v>Le critère ou l'exigence évalué n'est pas pertinent au regard des activités, du périmètre technique ou du cadre réglementaire de l'organisation.</v>
      </c>
      <c r="K15" s="25" t="str">
        <f>IFERROR(__xludf.DUMMYFUNCTION("""COMPUTED_VALUE"""),"03 - AUTHENTIFIER ET CONTROLER LES ACCÈS")</f>
        <v>03 - AUTHENTIFIER ET CONTROLER LES ACCÈS</v>
      </c>
    </row>
    <row r="16" ht="97.5" customHeight="1">
      <c r="A16" s="27"/>
      <c r="B16" s="18">
        <v>13.0</v>
      </c>
      <c r="C16" s="37" t="s">
        <v>90</v>
      </c>
      <c r="D16" s="38" t="s">
        <v>91</v>
      </c>
      <c r="E16" s="39" t="s">
        <v>40</v>
      </c>
      <c r="F16" s="40" t="s">
        <v>80</v>
      </c>
      <c r="G16" s="41" t="s">
        <v>92</v>
      </c>
      <c r="H16" s="18" t="s">
        <v>9</v>
      </c>
      <c r="I16" s="24" t="str">
        <f t="array" ref="I16">IF(H16="", "", XLOOKUP(H16, 'Echelle de maturité'!$C$2:$C$7, 'Echelle de maturité'!$B$2:$B$7, ""))</f>
        <v>Une conscience partagée des risques cyber pour l'organisation et la volonté de formaliser un plan d'action cyber complet tout en ajustant les moyens en conséquence.</v>
      </c>
      <c r="K16" s="25" t="str">
        <f>IFERROR(__xludf.DUMMYFUNCTION("""COMPUTED_VALUE"""),"03 - AUTHENTIFIER ET CONTROLER LES ACCÈS")</f>
        <v>03 - AUTHENTIFIER ET CONTROLER LES ACCÈS</v>
      </c>
    </row>
    <row r="17" ht="97.5" customHeight="1">
      <c r="A17" s="42" t="s">
        <v>93</v>
      </c>
      <c r="B17" s="18">
        <v>14.0</v>
      </c>
      <c r="C17" s="43" t="s">
        <v>94</v>
      </c>
      <c r="D17" s="44" t="s">
        <v>95</v>
      </c>
      <c r="E17" s="45" t="s">
        <v>40</v>
      </c>
      <c r="F17" s="46" t="s">
        <v>96</v>
      </c>
      <c r="G17" s="47" t="s">
        <v>97</v>
      </c>
      <c r="H17" s="18" t="s">
        <v>13</v>
      </c>
      <c r="I17" s="24" t="str">
        <f t="array" ref="I17">IF(H17="", "", XLOOKUP(H17, 'Echelle de maturité'!$C$2:$C$7, 'Echelle de maturité'!$B$2:$B$7, ""))</f>
        <v>Des objectifs de réduction des risques cyber intégrés à la stratégie de l'organisation. Des moyens humains, budgétaires conséquents, un plan d'action cyber exhaustif, adapté aux menaces stratégiques.</v>
      </c>
      <c r="K17" s="25" t="str">
        <f>IFERROR(__xludf.DUMMYFUNCTION("""COMPUTED_VALUE"""),"04 - SÉCURISER LES POSTES")</f>
        <v>04 - SÉCURISER LES POSTES</v>
      </c>
    </row>
    <row r="18" ht="97.5" customHeight="1">
      <c r="A18" s="26"/>
      <c r="B18" s="18">
        <v>15.0</v>
      </c>
      <c r="C18" s="43" t="s">
        <v>98</v>
      </c>
      <c r="D18" s="44" t="s">
        <v>99</v>
      </c>
      <c r="E18" s="45" t="s">
        <v>40</v>
      </c>
      <c r="F18" s="46" t="s">
        <v>100</v>
      </c>
      <c r="G18" s="47" t="s">
        <v>101</v>
      </c>
      <c r="H18" s="18" t="s">
        <v>13</v>
      </c>
      <c r="I18" s="24" t="str">
        <f t="array" ref="I18">IF(H18="", "", XLOOKUP(H18, 'Echelle de maturité'!$C$2:$C$7, 'Echelle de maturité'!$B$2:$B$7, ""))</f>
        <v>Des objectifs de réduction des risques cyber intégrés à la stratégie de l'organisation. Des moyens humains, budgétaires conséquents, un plan d'action cyber exhaustif, adapté aux menaces stratégiques.</v>
      </c>
      <c r="K18" s="25" t="str">
        <f>IFERROR(__xludf.DUMMYFUNCTION("""COMPUTED_VALUE"""),"04 - SÉCURISER LES POSTES")</f>
        <v>04 - SÉCURISER LES POSTES</v>
      </c>
    </row>
    <row r="19" ht="97.5" customHeight="1">
      <c r="A19" s="26"/>
      <c r="B19" s="18">
        <v>16.0</v>
      </c>
      <c r="C19" s="43" t="s">
        <v>102</v>
      </c>
      <c r="D19" s="44" t="s">
        <v>103</v>
      </c>
      <c r="E19" s="45" t="s">
        <v>40</v>
      </c>
      <c r="F19" s="46" t="s">
        <v>104</v>
      </c>
      <c r="G19" s="47" t="s">
        <v>105</v>
      </c>
      <c r="H19" s="18" t="s">
        <v>60</v>
      </c>
      <c r="I19" s="24" t="str">
        <f t="array" ref="I19">IF(H19="", "", XLOOKUP(H19, 'Echelle de maturité'!$C$2:$C$7, 'Echelle de maturité'!$B$2:$B$7, ""))</f>
        <v>Le critère ou l'exigence évalué n'est pas pertinent au regard des activités, du périmètre technique ou du cadre réglementaire de l'organisation.</v>
      </c>
      <c r="K19" s="25" t="str">
        <f>IFERROR(__xludf.DUMMYFUNCTION("""COMPUTED_VALUE"""),"04 - SÉCURISER LES POSTES")</f>
        <v>04 - SÉCURISER LES POSTES</v>
      </c>
    </row>
    <row r="20" ht="97.5" customHeight="1">
      <c r="A20" s="26"/>
      <c r="B20" s="18">
        <v>17.0</v>
      </c>
      <c r="C20" s="43" t="s">
        <v>106</v>
      </c>
      <c r="D20" s="44" t="s">
        <v>107</v>
      </c>
      <c r="E20" s="45" t="s">
        <v>40</v>
      </c>
      <c r="F20" s="46" t="s">
        <v>108</v>
      </c>
      <c r="G20" s="47" t="s">
        <v>109</v>
      </c>
      <c r="H20" s="18" t="s">
        <v>60</v>
      </c>
      <c r="I20" s="24" t="str">
        <f t="array" ref="I20">IF(H20="", "", XLOOKUP(H20, 'Echelle de maturité'!$C$2:$C$7, 'Echelle de maturité'!$B$2:$B$7, ""))</f>
        <v>Le critère ou l'exigence évalué n'est pas pertinent au regard des activités, du périmètre technique ou du cadre réglementaire de l'organisation.</v>
      </c>
      <c r="K20" s="25" t="str">
        <f>IFERROR(__xludf.DUMMYFUNCTION("""COMPUTED_VALUE"""),"04 - SÉCURISER LES POSTES")</f>
        <v>04 - SÉCURISER LES POSTES</v>
      </c>
    </row>
    <row r="21" ht="97.5" customHeight="1">
      <c r="A21" s="27"/>
      <c r="B21" s="18">
        <v>18.0</v>
      </c>
      <c r="C21" s="43" t="s">
        <v>110</v>
      </c>
      <c r="D21" s="44" t="s">
        <v>111</v>
      </c>
      <c r="E21" s="45" t="s">
        <v>40</v>
      </c>
      <c r="F21" s="46" t="s">
        <v>112</v>
      </c>
      <c r="G21" s="47" t="s">
        <v>113</v>
      </c>
      <c r="H21" s="18" t="s">
        <v>60</v>
      </c>
      <c r="I21" s="24" t="str">
        <f t="array" ref="I21">IF(H21="", "", XLOOKUP(H21, 'Echelle de maturité'!$C$2:$C$7, 'Echelle de maturité'!$B$2:$B$7, ""))</f>
        <v>Le critère ou l'exigence évalué n'est pas pertinent au regard des activités, du périmètre technique ou du cadre réglementaire de l'organisation.</v>
      </c>
      <c r="K21" s="25" t="str">
        <f>IFERROR(__xludf.DUMMYFUNCTION("""COMPUTED_VALUE"""),"04 - SÉCURISER LES POSTES")</f>
        <v>04 - SÉCURISER LES POSTES</v>
      </c>
    </row>
    <row r="22" ht="97.5" customHeight="1">
      <c r="A22" s="48" t="s">
        <v>114</v>
      </c>
      <c r="B22" s="18">
        <v>19.0</v>
      </c>
      <c r="C22" s="49" t="s">
        <v>115</v>
      </c>
      <c r="D22" s="50" t="s">
        <v>116</v>
      </c>
      <c r="E22" s="51" t="s">
        <v>40</v>
      </c>
      <c r="F22" s="52" t="s">
        <v>117</v>
      </c>
      <c r="G22" s="53" t="s">
        <v>118</v>
      </c>
      <c r="H22" s="18" t="s">
        <v>7</v>
      </c>
      <c r="I22" s="24" t="str">
        <f t="array" ref="I22">IF(H22="", "", XLOOKUP(H22, 'Echelle de maturité'!$C$2:$C$7, 'Echelle de maturité'!$B$2:$B$7, ""))</f>
        <v>Une prise de conscience de l'existence de risques cyber pour l'organisation et une volonté de mettre en place des premières mesures cyber pertinentes.</v>
      </c>
      <c r="K22" s="25" t="str">
        <f>IFERROR(__xludf.DUMMYFUNCTION("""COMPUTED_VALUE"""),"05 - SÉCURISER LE RÉSEAU")</f>
        <v>05 - SÉCURISER LE RÉSEAU</v>
      </c>
    </row>
    <row r="23" ht="97.5" customHeight="1">
      <c r="A23" s="26"/>
      <c r="B23" s="18">
        <v>20.0</v>
      </c>
      <c r="C23" s="49" t="s">
        <v>119</v>
      </c>
      <c r="D23" s="50" t="s">
        <v>120</v>
      </c>
      <c r="E23" s="51" t="s">
        <v>40</v>
      </c>
      <c r="F23" s="52" t="s">
        <v>121</v>
      </c>
      <c r="G23" s="53" t="s">
        <v>122</v>
      </c>
      <c r="H23" s="18" t="s">
        <v>11</v>
      </c>
      <c r="I23" s="24" t="str">
        <f t="array" ref="I23">IF(H23="", "", XLOOKUP(H23, 'Echelle de maturité'!$C$2:$C$7, 'Echelle de maturité'!$B$2:$B$7, ""))</f>
        <v>Une cartographie précise de ses risques cyber pour l'organisation, un plan d'action cyber approfondi et des moyens humains et budgétaires dédiés.</v>
      </c>
      <c r="K23" s="25" t="str">
        <f>IFERROR(__xludf.DUMMYFUNCTION("""COMPUTED_VALUE"""),"05 - SÉCURISER LE RÉSEAU")</f>
        <v>05 - SÉCURISER LE RÉSEAU</v>
      </c>
    </row>
    <row r="24" ht="97.5" customHeight="1">
      <c r="A24" s="26"/>
      <c r="B24" s="18">
        <v>21.0</v>
      </c>
      <c r="C24" s="49" t="s">
        <v>123</v>
      </c>
      <c r="D24" s="50" t="s">
        <v>124</v>
      </c>
      <c r="E24" s="51" t="s">
        <v>40</v>
      </c>
      <c r="F24" s="52" t="s">
        <v>125</v>
      </c>
      <c r="G24" s="53" t="s">
        <v>126</v>
      </c>
      <c r="H24" s="18" t="s">
        <v>60</v>
      </c>
      <c r="I24" s="24" t="str">
        <f t="array" ref="I24">IF(H24="", "", XLOOKUP(H24, 'Echelle de maturité'!$C$2:$C$7, 'Echelle de maturité'!$B$2:$B$7, ""))</f>
        <v>Le critère ou l'exigence évalué n'est pas pertinent au regard des activités, du périmètre technique ou du cadre réglementaire de l'organisation.</v>
      </c>
      <c r="K24" s="25" t="str">
        <f>IFERROR(__xludf.DUMMYFUNCTION("""COMPUTED_VALUE"""),"05 - SÉCURISER LE RÉSEAU")</f>
        <v>05 - SÉCURISER LE RÉSEAU</v>
      </c>
    </row>
    <row r="25" ht="97.5" customHeight="1">
      <c r="A25" s="26"/>
      <c r="B25" s="18">
        <v>22.0</v>
      </c>
      <c r="C25" s="49" t="s">
        <v>127</v>
      </c>
      <c r="D25" s="50" t="s">
        <v>128</v>
      </c>
      <c r="E25" s="51" t="s">
        <v>40</v>
      </c>
      <c r="F25" s="52" t="s">
        <v>129</v>
      </c>
      <c r="G25" s="53" t="s">
        <v>130</v>
      </c>
      <c r="H25" s="18" t="s">
        <v>9</v>
      </c>
      <c r="I25" s="24" t="str">
        <f t="array" ref="I25">IF(H25="", "", XLOOKUP(H25, 'Echelle de maturité'!$C$2:$C$7, 'Echelle de maturité'!$B$2:$B$7, ""))</f>
        <v>Une conscience partagée des risques cyber pour l'organisation et la volonté de formaliser un plan d'action cyber complet tout en ajustant les moyens en conséquence.</v>
      </c>
      <c r="K25" s="25" t="str">
        <f>IFERROR(__xludf.DUMMYFUNCTION("""COMPUTED_VALUE"""),"05 - SÉCURISER LE RÉSEAU")</f>
        <v>05 - SÉCURISER LE RÉSEAU</v>
      </c>
    </row>
    <row r="26" ht="97.5" customHeight="1">
      <c r="A26" s="26"/>
      <c r="B26" s="18">
        <v>23.0</v>
      </c>
      <c r="C26" s="49" t="s">
        <v>131</v>
      </c>
      <c r="D26" s="50" t="s">
        <v>132</v>
      </c>
      <c r="E26" s="51" t="s">
        <v>40</v>
      </c>
      <c r="F26" s="52" t="s">
        <v>133</v>
      </c>
      <c r="G26" s="53" t="s">
        <v>134</v>
      </c>
      <c r="H26" s="18" t="s">
        <v>5</v>
      </c>
      <c r="I26" s="24" t="str">
        <f t="array" ref="I26">IF(H26="", "", XLOOKUP(H26, 'Echelle de maturité'!$C$2:$C$7, 'Echelle de maturité'!$B$2:$B$7, ""))</f>
        <v>Une conscience insuffisante des risques cyber pesant sur l'organisation. Pas ou peu de mesures spécifiques mises en oeuvre en matière de cybersécurité.</v>
      </c>
      <c r="K26" s="25" t="str">
        <f>IFERROR(__xludf.DUMMYFUNCTION("""COMPUTED_VALUE"""),"05 - SÉCURISER LE RÉSEAU")</f>
        <v>05 - SÉCURISER LE RÉSEAU</v>
      </c>
    </row>
    <row r="27" ht="97.5" customHeight="1">
      <c r="A27" s="26"/>
      <c r="B27" s="18">
        <v>24.0</v>
      </c>
      <c r="C27" s="49" t="s">
        <v>135</v>
      </c>
      <c r="D27" s="50" t="s">
        <v>136</v>
      </c>
      <c r="E27" s="51" t="s">
        <v>40</v>
      </c>
      <c r="F27" s="52" t="s">
        <v>137</v>
      </c>
      <c r="G27" s="53" t="s">
        <v>138</v>
      </c>
      <c r="H27" s="18" t="s">
        <v>7</v>
      </c>
      <c r="I27" s="24" t="str">
        <f t="array" ref="I27">IF(H27="", "", XLOOKUP(H27, 'Echelle de maturité'!$C$2:$C$7, 'Echelle de maturité'!$B$2:$B$7, ""))</f>
        <v>Une prise de conscience de l'existence de risques cyber pour l'organisation et une volonté de mettre en place des premières mesures cyber pertinentes.</v>
      </c>
      <c r="K27" s="25" t="str">
        <f>IFERROR(__xludf.DUMMYFUNCTION("""COMPUTED_VALUE"""),"05 - SÉCURISER LE RÉSEAU")</f>
        <v>05 - SÉCURISER LE RÉSEAU</v>
      </c>
    </row>
    <row r="28" ht="97.5" customHeight="1">
      <c r="A28" s="26"/>
      <c r="B28" s="18">
        <v>25.0</v>
      </c>
      <c r="C28" s="49" t="s">
        <v>139</v>
      </c>
      <c r="D28" s="50" t="s">
        <v>140</v>
      </c>
      <c r="E28" s="51" t="s">
        <v>40</v>
      </c>
      <c r="F28" s="52" t="s">
        <v>141</v>
      </c>
      <c r="G28" s="53" t="s">
        <v>142</v>
      </c>
      <c r="H28" s="18" t="s">
        <v>7</v>
      </c>
      <c r="I28" s="24" t="str">
        <f t="array" ref="I28">IF(H28="", "", XLOOKUP(H28, 'Echelle de maturité'!$C$2:$C$7, 'Echelle de maturité'!$B$2:$B$7, ""))</f>
        <v>Une prise de conscience de l'existence de risques cyber pour l'organisation et une volonté de mettre en place des premières mesures cyber pertinentes.</v>
      </c>
      <c r="K28" s="25" t="str">
        <f>IFERROR(__xludf.DUMMYFUNCTION("""COMPUTED_VALUE"""),"05 - SÉCURISER LE RÉSEAU")</f>
        <v>05 - SÉCURISER LE RÉSEAU</v>
      </c>
    </row>
    <row r="29" ht="97.5" customHeight="1">
      <c r="A29" s="27"/>
      <c r="B29" s="18">
        <v>26.0</v>
      </c>
      <c r="C29" s="49" t="s">
        <v>143</v>
      </c>
      <c r="D29" s="50" t="s">
        <v>144</v>
      </c>
      <c r="E29" s="51" t="s">
        <v>40</v>
      </c>
      <c r="F29" s="52" t="s">
        <v>145</v>
      </c>
      <c r="G29" s="53" t="s">
        <v>146</v>
      </c>
      <c r="H29" s="18" t="s">
        <v>5</v>
      </c>
      <c r="I29" s="24" t="str">
        <f t="array" ref="I29">IF(H29="", "", XLOOKUP(H29, 'Echelle de maturité'!$C$2:$C$7, 'Echelle de maturité'!$B$2:$B$7, ""))</f>
        <v>Une conscience insuffisante des risques cyber pesant sur l'organisation. Pas ou peu de mesures spécifiques mises en oeuvre en matière de cybersécurité.</v>
      </c>
      <c r="K29" s="25" t="str">
        <f>IFERROR(__xludf.DUMMYFUNCTION("""COMPUTED_VALUE"""),"05 - SÉCURISER LE RÉSEAU")</f>
        <v>05 - SÉCURISER LE RÉSEAU</v>
      </c>
    </row>
    <row r="30" ht="97.5" customHeight="1">
      <c r="A30" s="54" t="s">
        <v>147</v>
      </c>
      <c r="B30" s="18">
        <v>27.0</v>
      </c>
      <c r="C30" s="55" t="s">
        <v>148</v>
      </c>
      <c r="D30" s="56" t="s">
        <v>149</v>
      </c>
      <c r="E30" s="57" t="s">
        <v>40</v>
      </c>
      <c r="F30" s="58" t="s">
        <v>150</v>
      </c>
      <c r="G30" s="59" t="s">
        <v>151</v>
      </c>
      <c r="H30" s="18" t="s">
        <v>9</v>
      </c>
      <c r="I30" s="24" t="str">
        <f t="array" ref="I30">IF(H30="", "", XLOOKUP(H30, 'Echelle de maturité'!$C$2:$C$7, 'Echelle de maturité'!$B$2:$B$7, ""))</f>
        <v>Une conscience partagée des risques cyber pour l'organisation et la volonté de formaliser un plan d'action cyber complet tout en ajustant les moyens en conséquence.</v>
      </c>
      <c r="K30" s="25" t="str">
        <f>IFERROR(__xludf.DUMMYFUNCTION("""COMPUTED_VALUE"""),"06 - SÉCURISER L’ADMINISTRATION")</f>
        <v>06 - SÉCURISER L’ADMINISTRATION</v>
      </c>
    </row>
    <row r="31" ht="97.5" customHeight="1">
      <c r="A31" s="26"/>
      <c r="B31" s="18">
        <v>28.0</v>
      </c>
      <c r="C31" s="55" t="s">
        <v>152</v>
      </c>
      <c r="D31" s="56" t="s">
        <v>153</v>
      </c>
      <c r="E31" s="57" t="s">
        <v>40</v>
      </c>
      <c r="F31" s="58" t="s">
        <v>117</v>
      </c>
      <c r="G31" s="59" t="s">
        <v>154</v>
      </c>
      <c r="H31" s="18" t="s">
        <v>9</v>
      </c>
      <c r="I31" s="24" t="str">
        <f t="array" ref="I31">IF(H31="", "", XLOOKUP(H31, 'Echelle de maturité'!$C$2:$C$7, 'Echelle de maturité'!$B$2:$B$7, ""))</f>
        <v>Une conscience partagée des risques cyber pour l'organisation et la volonté de formaliser un plan d'action cyber complet tout en ajustant les moyens en conséquence.</v>
      </c>
      <c r="K31" s="25" t="str">
        <f>IFERROR(__xludf.DUMMYFUNCTION("""COMPUTED_VALUE"""),"06 - SÉCURISER L’ADMINISTRATION")</f>
        <v>06 - SÉCURISER L’ADMINISTRATION</v>
      </c>
    </row>
    <row r="32" ht="97.5" customHeight="1">
      <c r="A32" s="27"/>
      <c r="B32" s="18">
        <v>29.0</v>
      </c>
      <c r="C32" s="55" t="s">
        <v>155</v>
      </c>
      <c r="D32" s="56" t="s">
        <v>156</v>
      </c>
      <c r="E32" s="57" t="s">
        <v>40</v>
      </c>
      <c r="F32" s="58" t="s">
        <v>157</v>
      </c>
      <c r="G32" s="59" t="s">
        <v>158</v>
      </c>
      <c r="H32" s="18" t="s">
        <v>60</v>
      </c>
      <c r="I32" s="24" t="str">
        <f t="array" ref="I32">IF(H32="", "", XLOOKUP(H32, 'Echelle de maturité'!$C$2:$C$7, 'Echelle de maturité'!$B$2:$B$7, ""))</f>
        <v>Le critère ou l'exigence évalué n'est pas pertinent au regard des activités, du périmètre technique ou du cadre réglementaire de l'organisation.</v>
      </c>
      <c r="K32" s="25" t="str">
        <f>IFERROR(__xludf.DUMMYFUNCTION("""COMPUTED_VALUE"""),"06 - SÉCURISER L’ADMINISTRATION")</f>
        <v>06 - SÉCURISER L’ADMINISTRATION</v>
      </c>
    </row>
    <row r="33" ht="97.5" customHeight="1">
      <c r="A33" s="60" t="s">
        <v>159</v>
      </c>
      <c r="B33" s="18">
        <v>30.0</v>
      </c>
      <c r="C33" s="61" t="s">
        <v>160</v>
      </c>
      <c r="D33" s="62" t="s">
        <v>161</v>
      </c>
      <c r="E33" s="63" t="s">
        <v>40</v>
      </c>
      <c r="F33" s="64" t="s">
        <v>162</v>
      </c>
      <c r="G33" s="65" t="s">
        <v>163</v>
      </c>
      <c r="H33" s="18" t="s">
        <v>7</v>
      </c>
      <c r="I33" s="24" t="str">
        <f t="array" ref="I33">IF(H33="", "", XLOOKUP(H33, 'Echelle de maturité'!$C$2:$C$7, 'Echelle de maturité'!$B$2:$B$7, ""))</f>
        <v>Une prise de conscience de l'existence de risques cyber pour l'organisation et une volonté de mettre en place des premières mesures cyber pertinentes.</v>
      </c>
      <c r="K33" s="25" t="str">
        <f>IFERROR(__xludf.DUMMYFUNCTION("""COMPUTED_VALUE"""),"07 - GÉRER LE NOMADISME")</f>
        <v>07 - GÉRER LE NOMADISME</v>
      </c>
    </row>
    <row r="34" ht="97.5" customHeight="1">
      <c r="A34" s="26"/>
      <c r="B34" s="18">
        <v>31.0</v>
      </c>
      <c r="C34" s="61" t="s">
        <v>164</v>
      </c>
      <c r="D34" s="62" t="s">
        <v>165</v>
      </c>
      <c r="E34" s="63" t="s">
        <v>40</v>
      </c>
      <c r="F34" s="64" t="s">
        <v>166</v>
      </c>
      <c r="G34" s="65" t="s">
        <v>167</v>
      </c>
      <c r="H34" s="18" t="s">
        <v>9</v>
      </c>
      <c r="I34" s="24" t="str">
        <f t="array" ref="I34">IF(H34="", "", XLOOKUP(H34, 'Echelle de maturité'!$C$2:$C$7, 'Echelle de maturité'!$B$2:$B$7, ""))</f>
        <v>Une conscience partagée des risques cyber pour l'organisation et la volonté de formaliser un plan d'action cyber complet tout en ajustant les moyens en conséquence.</v>
      </c>
      <c r="K34" s="25" t="str">
        <f>IFERROR(__xludf.DUMMYFUNCTION("""COMPUTED_VALUE"""),"07 - GÉRER LE NOMADISME")</f>
        <v>07 - GÉRER LE NOMADISME</v>
      </c>
    </row>
    <row r="35" ht="97.5" customHeight="1">
      <c r="A35" s="26"/>
      <c r="B35" s="18">
        <v>32.0</v>
      </c>
      <c r="C35" s="61" t="s">
        <v>168</v>
      </c>
      <c r="D35" s="62" t="s">
        <v>169</v>
      </c>
      <c r="E35" s="63" t="s">
        <v>40</v>
      </c>
      <c r="F35" s="64" t="s">
        <v>170</v>
      </c>
      <c r="G35" s="65" t="s">
        <v>171</v>
      </c>
      <c r="H35" s="18" t="s">
        <v>11</v>
      </c>
      <c r="I35" s="24" t="str">
        <f t="array" ref="I35">IF(H35="", "", XLOOKUP(H35, 'Echelle de maturité'!$C$2:$C$7, 'Echelle de maturité'!$B$2:$B$7, ""))</f>
        <v>Une cartographie précise de ses risques cyber pour l'organisation, un plan d'action cyber approfondi et des moyens humains et budgétaires dédiés.</v>
      </c>
      <c r="K35" s="25" t="str">
        <f>IFERROR(__xludf.DUMMYFUNCTION("""COMPUTED_VALUE"""),"07 - GÉRER LE NOMADISME")</f>
        <v>07 - GÉRER LE NOMADISME</v>
      </c>
    </row>
    <row r="36" ht="97.5" customHeight="1">
      <c r="A36" s="27"/>
      <c r="B36" s="18">
        <v>33.0</v>
      </c>
      <c r="C36" s="61" t="s">
        <v>172</v>
      </c>
      <c r="D36" s="62" t="s">
        <v>173</v>
      </c>
      <c r="E36" s="63" t="s">
        <v>40</v>
      </c>
      <c r="F36" s="64" t="s">
        <v>174</v>
      </c>
      <c r="G36" s="65" t="s">
        <v>175</v>
      </c>
      <c r="H36" s="18" t="s">
        <v>13</v>
      </c>
      <c r="I36" s="24" t="str">
        <f t="array" ref="I36">IF(H36="", "", XLOOKUP(H36, 'Echelle de maturité'!$C$2:$C$7, 'Echelle de maturité'!$B$2:$B$7, ""))</f>
        <v>Des objectifs de réduction des risques cyber intégrés à la stratégie de l'organisation. Des moyens humains, budgétaires conséquents, un plan d'action cyber exhaustif, adapté aux menaces stratégiques.</v>
      </c>
      <c r="K36" s="25" t="str">
        <f>IFERROR(__xludf.DUMMYFUNCTION("""COMPUTED_VALUE"""),"07 - GÉRER LE NOMADISME")</f>
        <v>07 - GÉRER LE NOMADISME</v>
      </c>
    </row>
    <row r="37" ht="97.5" customHeight="1">
      <c r="A37" s="66" t="s">
        <v>176</v>
      </c>
      <c r="B37" s="18">
        <v>34.0</v>
      </c>
      <c r="C37" s="67" t="s">
        <v>177</v>
      </c>
      <c r="D37" s="68" t="s">
        <v>178</v>
      </c>
      <c r="E37" s="69" t="s">
        <v>40</v>
      </c>
      <c r="F37" s="70" t="s">
        <v>179</v>
      </c>
      <c r="G37" s="71" t="s">
        <v>180</v>
      </c>
      <c r="H37" s="18" t="s">
        <v>7</v>
      </c>
      <c r="I37" s="24" t="str">
        <f t="array" ref="I37">IF(H37="", "", XLOOKUP(H37, 'Echelle de maturité'!$C$2:$C$7, 'Echelle de maturité'!$B$2:$B$7, ""))</f>
        <v>Une prise de conscience de l'existence de risques cyber pour l'organisation et une volonté de mettre en place des premières mesures cyber pertinentes.</v>
      </c>
      <c r="K37" s="25" t="str">
        <f>IFERROR(__xludf.DUMMYFUNCTION("""COMPUTED_VALUE"""),"08 - MAINTENIR LE SYSTÈME D’INFORMATION À JOUR")</f>
        <v>08 - MAINTENIR LE SYSTÈME D’INFORMATION À JOUR</v>
      </c>
    </row>
    <row r="38" ht="97.5" customHeight="1">
      <c r="A38" s="27"/>
      <c r="B38" s="18">
        <v>35.0</v>
      </c>
      <c r="C38" s="67" t="s">
        <v>181</v>
      </c>
      <c r="D38" s="68" t="s">
        <v>182</v>
      </c>
      <c r="E38" s="69" t="s">
        <v>40</v>
      </c>
      <c r="F38" s="70" t="s">
        <v>183</v>
      </c>
      <c r="G38" s="71" t="s">
        <v>184</v>
      </c>
      <c r="H38" s="18" t="s">
        <v>13</v>
      </c>
      <c r="I38" s="24" t="str">
        <f t="array" ref="I38">IF(H38="", "", XLOOKUP(H38, 'Echelle de maturité'!$C$2:$C$7, 'Echelle de maturité'!$B$2:$B$7, ""))</f>
        <v>Des objectifs de réduction des risques cyber intégrés à la stratégie de l'organisation. Des moyens humains, budgétaires conséquents, un plan d'action cyber exhaustif, adapté aux menaces stratégiques.</v>
      </c>
      <c r="K38" s="25" t="str">
        <f>IFERROR(__xludf.DUMMYFUNCTION("""COMPUTED_VALUE"""),"08 - MAINTENIR LE SYSTÈME D’INFORMATION À JOUR")</f>
        <v>08 - MAINTENIR LE SYSTÈME D’INFORMATION À JOUR</v>
      </c>
    </row>
    <row r="39" ht="97.5" customHeight="1">
      <c r="A39" s="72" t="s">
        <v>185</v>
      </c>
      <c r="B39" s="18">
        <v>36.0</v>
      </c>
      <c r="C39" s="73" t="s">
        <v>186</v>
      </c>
      <c r="D39" s="74" t="s">
        <v>187</v>
      </c>
      <c r="E39" s="75" t="s">
        <v>40</v>
      </c>
      <c r="F39" s="76" t="s">
        <v>188</v>
      </c>
      <c r="G39" s="77" t="s">
        <v>189</v>
      </c>
      <c r="H39" s="18" t="s">
        <v>7</v>
      </c>
      <c r="I39" s="24" t="str">
        <f t="array" ref="I39">IF(H39="", "", XLOOKUP(H39, 'Echelle de maturité'!$C$2:$C$7, 'Echelle de maturité'!$B$2:$B$7, ""))</f>
        <v>Une prise de conscience de l'existence de risques cyber pour l'organisation et une volonté de mettre en place des premières mesures cyber pertinentes.</v>
      </c>
      <c r="K39" s="25" t="str">
        <f>IFERROR(__xludf.DUMMYFUNCTION("""COMPUTED_VALUE"""),"09 - SUPERVISER, AUDITER, RÉAGIR")</f>
        <v>09 - SUPERVISER, AUDITER, RÉAGIR</v>
      </c>
    </row>
    <row r="40" ht="97.5" customHeight="1">
      <c r="A40" s="26"/>
      <c r="B40" s="18">
        <v>37.0</v>
      </c>
      <c r="C40" s="73" t="s">
        <v>190</v>
      </c>
      <c r="D40" s="74" t="s">
        <v>191</v>
      </c>
      <c r="E40" s="75" t="s">
        <v>40</v>
      </c>
      <c r="F40" s="76" t="s">
        <v>192</v>
      </c>
      <c r="G40" s="77" t="s">
        <v>193</v>
      </c>
      <c r="H40" s="18" t="s">
        <v>11</v>
      </c>
      <c r="I40" s="24" t="str">
        <f t="array" ref="I40">IF(H40="", "", XLOOKUP(H40, 'Echelle de maturité'!$C$2:$C$7, 'Echelle de maturité'!$B$2:$B$7, ""))</f>
        <v>Une cartographie précise de ses risques cyber pour l'organisation, un plan d'action cyber approfondi et des moyens humains et budgétaires dédiés.</v>
      </c>
      <c r="K40" s="25" t="str">
        <f>IFERROR(__xludf.DUMMYFUNCTION("""COMPUTED_VALUE"""),"09 - SUPERVISER, AUDITER, RÉAGIR")</f>
        <v>09 - SUPERVISER, AUDITER, RÉAGIR</v>
      </c>
    </row>
    <row r="41" ht="97.5" customHeight="1">
      <c r="A41" s="26"/>
      <c r="B41" s="18">
        <v>38.0</v>
      </c>
      <c r="C41" s="73" t="s">
        <v>194</v>
      </c>
      <c r="D41" s="74" t="s">
        <v>195</v>
      </c>
      <c r="E41" s="75" t="s">
        <v>40</v>
      </c>
      <c r="F41" s="76" t="s">
        <v>196</v>
      </c>
      <c r="G41" s="77" t="s">
        <v>197</v>
      </c>
      <c r="H41" s="18" t="s">
        <v>9</v>
      </c>
      <c r="I41" s="24" t="str">
        <f t="array" ref="I41">IF(H41="", "", XLOOKUP(H41, 'Echelle de maturité'!$C$2:$C$7, 'Echelle de maturité'!$B$2:$B$7, ""))</f>
        <v>Une conscience partagée des risques cyber pour l'organisation et la volonté de formaliser un plan d'action cyber complet tout en ajustant les moyens en conséquence.</v>
      </c>
      <c r="K41" s="25" t="str">
        <f>IFERROR(__xludf.DUMMYFUNCTION("""COMPUTED_VALUE"""),"09 - SUPERVISER, AUDITER, RÉAGIR")</f>
        <v>09 - SUPERVISER, AUDITER, RÉAGIR</v>
      </c>
    </row>
    <row r="42" ht="97.5" customHeight="1">
      <c r="A42" s="26"/>
      <c r="B42" s="18">
        <v>39.0</v>
      </c>
      <c r="C42" s="73" t="s">
        <v>198</v>
      </c>
      <c r="D42" s="74" t="s">
        <v>199</v>
      </c>
      <c r="E42" s="75" t="s">
        <v>40</v>
      </c>
      <c r="F42" s="76" t="s">
        <v>200</v>
      </c>
      <c r="G42" s="77" t="s">
        <v>201</v>
      </c>
      <c r="H42" s="18" t="s">
        <v>11</v>
      </c>
      <c r="I42" s="24" t="str">
        <f t="array" ref="I42">IF(H42="", "", XLOOKUP(H42, 'Echelle de maturité'!$C$2:$C$7, 'Echelle de maturité'!$B$2:$B$7, ""))</f>
        <v>Une cartographie précise de ses risques cyber pour l'organisation, un plan d'action cyber approfondi et des moyens humains et budgétaires dédiés.</v>
      </c>
      <c r="K42" s="25" t="str">
        <f>IFERROR(__xludf.DUMMYFUNCTION("""COMPUTED_VALUE"""),"09 - SUPERVISER, AUDITER, RÉAGIR")</f>
        <v>09 - SUPERVISER, AUDITER, RÉAGIR</v>
      </c>
    </row>
    <row r="43" ht="97.5" customHeight="1">
      <c r="A43" s="27"/>
      <c r="B43" s="18">
        <v>40.0</v>
      </c>
      <c r="C43" s="73" t="s">
        <v>202</v>
      </c>
      <c r="D43" s="74" t="s">
        <v>203</v>
      </c>
      <c r="E43" s="75" t="s">
        <v>40</v>
      </c>
      <c r="F43" s="76" t="s">
        <v>204</v>
      </c>
      <c r="G43" s="77" t="s">
        <v>205</v>
      </c>
      <c r="H43" s="18" t="s">
        <v>13</v>
      </c>
      <c r="I43" s="24" t="str">
        <f t="array" ref="I43">IF(H43="", "", XLOOKUP(H43, 'Echelle de maturité'!$C$2:$C$7, 'Echelle de maturité'!$B$2:$B$7, ""))</f>
        <v>Des objectifs de réduction des risques cyber intégrés à la stratégie de l'organisation. Des moyens humains, budgétaires conséquents, un plan d'action cyber exhaustif, adapté aux menaces stratégiques.</v>
      </c>
      <c r="K43" s="25" t="str">
        <f>IFERROR(__xludf.DUMMYFUNCTION("""COMPUTED_VALUE"""),"09 - SUPERVISER, AUDITER, RÉAGIR")</f>
        <v>09 - SUPERVISER, AUDITER, RÉAGIR</v>
      </c>
    </row>
    <row r="44" ht="97.5" customHeight="1">
      <c r="A44" s="78" t="s">
        <v>206</v>
      </c>
      <c r="B44" s="18">
        <v>41.0</v>
      </c>
      <c r="C44" s="79" t="s">
        <v>207</v>
      </c>
      <c r="D44" s="80" t="s">
        <v>208</v>
      </c>
      <c r="E44" s="81" t="s">
        <v>40</v>
      </c>
      <c r="F44" s="82" t="s">
        <v>209</v>
      </c>
      <c r="G44" s="83" t="s">
        <v>210</v>
      </c>
      <c r="H44" s="18" t="s">
        <v>7</v>
      </c>
      <c r="I44" s="24" t="str">
        <f t="array" ref="I44">IF(H44="", "", XLOOKUP(H44, 'Echelle de maturité'!$C$2:$C$7, 'Echelle de maturité'!$B$2:$B$7, ""))</f>
        <v>Une prise de conscience de l'existence de risques cyber pour l'organisation et une volonté de mettre en place des premières mesures cyber pertinentes.</v>
      </c>
      <c r="K44" s="25" t="str">
        <f>IFERROR(__xludf.DUMMYFUNCTION("""COMPUTED_VALUE"""),"10 - POUR ALLER PLUS LOIN")</f>
        <v>10 - POUR ALLER PLUS LOIN</v>
      </c>
    </row>
    <row r="45" ht="97.5" customHeight="1">
      <c r="A45" s="27"/>
      <c r="B45" s="18">
        <v>42.0</v>
      </c>
      <c r="C45" s="79" t="s">
        <v>211</v>
      </c>
      <c r="D45" s="80" t="s">
        <v>212</v>
      </c>
      <c r="E45" s="81" t="s">
        <v>40</v>
      </c>
      <c r="F45" s="82" t="s">
        <v>213</v>
      </c>
      <c r="G45" s="83" t="s">
        <v>214</v>
      </c>
      <c r="H45" s="18" t="s">
        <v>11</v>
      </c>
      <c r="I45" s="24" t="str">
        <f t="array" ref="I45">IF(H45="", "", XLOOKUP(H45, 'Echelle de maturité'!$C$2:$C$7, 'Echelle de maturité'!$B$2:$B$7, ""))</f>
        <v>Une cartographie précise de ses risques cyber pour l'organisation, un plan d'action cyber approfondi et des moyens humains et budgétaires dédiés.</v>
      </c>
      <c r="K45" s="25" t="str">
        <f>IFERROR(__xludf.DUMMYFUNCTION("""COMPUTED_VALUE"""),"10 - POUR ALLER PLUS LOIN")</f>
        <v>10 - POUR ALLER PLUS LOIN</v>
      </c>
    </row>
    <row r="46" ht="75.0" customHeight="1">
      <c r="A46" s="84" t="s">
        <v>215</v>
      </c>
      <c r="B46" s="85"/>
      <c r="C46" s="85"/>
      <c r="D46" s="85"/>
      <c r="E46" s="85"/>
      <c r="F46" s="85"/>
      <c r="G46" s="85"/>
      <c r="H46" s="86" t="str">
        <f>(COUNTIF(H4:H45,"1 - Insuffisant")*1 
+COUNTIF(F4:H45,"2 - Émergent")*2
+COUNTIF(H4:H45,"3 - Intermédiaire")*3
+COUNTIF(H4:H45,"4 - Confirmé")*4
+COUNTIF(H4:H45,"5 - Optimal")*5)
&amp; "/"
&amp; (ROWS(H4:H45)*5)</f>
        <v>111/210</v>
      </c>
      <c r="I46" s="86" t="str">
        <f>ROUND((LEFT(H46,SEARCH("/",H46)-1)/RIGHT(H46,LEN(H46)-SEARCH("/",H46)))*5,2)&amp;" / 5"</f>
        <v>2,64 / 5</v>
      </c>
    </row>
    <row r="47">
      <c r="F47" s="13"/>
    </row>
    <row r="48">
      <c r="F48" s="13"/>
    </row>
    <row r="49">
      <c r="F49" s="13"/>
    </row>
    <row r="50">
      <c r="B50" s="87"/>
      <c r="F50" s="13"/>
    </row>
    <row r="51">
      <c r="F51" s="13"/>
    </row>
    <row r="55">
      <c r="A55" s="87"/>
    </row>
    <row r="134">
      <c r="A134" s="16" t="s">
        <v>27</v>
      </c>
      <c r="B134" s="16" t="s">
        <v>216</v>
      </c>
      <c r="C134" s="16" t="s">
        <v>217</v>
      </c>
    </row>
    <row r="135">
      <c r="A135" s="16" t="s">
        <v>37</v>
      </c>
      <c r="B135" s="16">
        <v>1.0</v>
      </c>
      <c r="C135" s="25">
        <f t="shared" ref="C135:C176" si="1">IFERROR(VALUE(LEFT($H4, 1)), "")</f>
        <v>2</v>
      </c>
    </row>
    <row r="136">
      <c r="A136" s="16" t="s">
        <v>37</v>
      </c>
      <c r="B136" s="16">
        <v>2.0</v>
      </c>
      <c r="C136" s="25">
        <f t="shared" si="1"/>
        <v>5</v>
      </c>
    </row>
    <row r="137">
      <c r="A137" s="16" t="s">
        <v>37</v>
      </c>
      <c r="B137" s="16">
        <v>3.0</v>
      </c>
      <c r="C137" s="25">
        <f t="shared" si="1"/>
        <v>5</v>
      </c>
    </row>
    <row r="138">
      <c r="A138" s="16" t="s">
        <v>51</v>
      </c>
      <c r="B138" s="16">
        <v>4.0</v>
      </c>
      <c r="C138" s="25">
        <f t="shared" si="1"/>
        <v>3</v>
      </c>
    </row>
    <row r="139">
      <c r="A139" s="16" t="s">
        <v>51</v>
      </c>
      <c r="B139" s="16">
        <v>5.0</v>
      </c>
      <c r="C139" s="25" t="str">
        <f t="shared" si="1"/>
        <v/>
      </c>
    </row>
    <row r="140">
      <c r="A140" s="16" t="s">
        <v>51</v>
      </c>
      <c r="B140" s="16">
        <v>6.0</v>
      </c>
      <c r="C140" s="25">
        <f t="shared" si="1"/>
        <v>1</v>
      </c>
    </row>
    <row r="141">
      <c r="A141" s="16" t="s">
        <v>51</v>
      </c>
      <c r="B141" s="16">
        <v>7.0</v>
      </c>
      <c r="C141" s="25">
        <f t="shared" si="1"/>
        <v>5</v>
      </c>
    </row>
    <row r="142">
      <c r="A142" s="16" t="s">
        <v>69</v>
      </c>
      <c r="B142" s="16">
        <v>8.0</v>
      </c>
      <c r="C142" s="25">
        <f t="shared" si="1"/>
        <v>4</v>
      </c>
    </row>
    <row r="143">
      <c r="A143" s="16" t="s">
        <v>69</v>
      </c>
      <c r="B143" s="16">
        <v>9.0</v>
      </c>
      <c r="C143" s="25">
        <f t="shared" si="1"/>
        <v>2</v>
      </c>
    </row>
    <row r="144">
      <c r="A144" s="16" t="s">
        <v>69</v>
      </c>
      <c r="B144" s="16">
        <v>10.0</v>
      </c>
      <c r="C144" s="25">
        <f t="shared" si="1"/>
        <v>4</v>
      </c>
    </row>
    <row r="145">
      <c r="A145" s="16" t="s">
        <v>69</v>
      </c>
      <c r="B145" s="16">
        <v>11.0</v>
      </c>
      <c r="C145" s="25">
        <f t="shared" si="1"/>
        <v>1</v>
      </c>
    </row>
    <row r="146">
      <c r="A146" s="16" t="s">
        <v>69</v>
      </c>
      <c r="B146" s="16">
        <v>12.0</v>
      </c>
      <c r="C146" s="25" t="str">
        <f t="shared" si="1"/>
        <v/>
      </c>
    </row>
    <row r="147">
      <c r="A147" s="16" t="s">
        <v>69</v>
      </c>
      <c r="B147" s="16">
        <v>13.0</v>
      </c>
      <c r="C147" s="25">
        <f t="shared" si="1"/>
        <v>3</v>
      </c>
    </row>
    <row r="148">
      <c r="A148" s="16" t="s">
        <v>93</v>
      </c>
      <c r="B148" s="16">
        <v>14.0</v>
      </c>
      <c r="C148" s="25">
        <f t="shared" si="1"/>
        <v>5</v>
      </c>
    </row>
    <row r="149">
      <c r="A149" s="16" t="s">
        <v>93</v>
      </c>
      <c r="B149" s="16">
        <v>15.0</v>
      </c>
      <c r="C149" s="25">
        <f t="shared" si="1"/>
        <v>5</v>
      </c>
    </row>
    <row r="150">
      <c r="A150" s="16" t="s">
        <v>93</v>
      </c>
      <c r="B150" s="16">
        <v>16.0</v>
      </c>
      <c r="C150" s="25" t="str">
        <f t="shared" si="1"/>
        <v/>
      </c>
    </row>
    <row r="151">
      <c r="A151" s="16" t="s">
        <v>93</v>
      </c>
      <c r="B151" s="16">
        <v>17.0</v>
      </c>
      <c r="C151" s="25" t="str">
        <f t="shared" si="1"/>
        <v/>
      </c>
    </row>
    <row r="152">
      <c r="A152" s="16" t="s">
        <v>93</v>
      </c>
      <c r="B152" s="16">
        <v>18.0</v>
      </c>
      <c r="C152" s="25" t="str">
        <f t="shared" si="1"/>
        <v/>
      </c>
    </row>
    <row r="153">
      <c r="A153" s="16" t="s">
        <v>114</v>
      </c>
      <c r="B153" s="16">
        <v>19.0</v>
      </c>
      <c r="C153" s="25">
        <f t="shared" si="1"/>
        <v>2</v>
      </c>
    </row>
    <row r="154">
      <c r="A154" s="16" t="s">
        <v>114</v>
      </c>
      <c r="B154" s="16">
        <v>20.0</v>
      </c>
      <c r="C154" s="25">
        <f t="shared" si="1"/>
        <v>4</v>
      </c>
    </row>
    <row r="155">
      <c r="A155" s="16" t="s">
        <v>114</v>
      </c>
      <c r="B155" s="16">
        <v>21.0</v>
      </c>
      <c r="C155" s="25" t="str">
        <f t="shared" si="1"/>
        <v/>
      </c>
      <c r="G155" s="16" t="s">
        <v>221</v>
      </c>
      <c r="H155" s="16" t="s">
        <v>222</v>
      </c>
    </row>
    <row r="156">
      <c r="A156" s="16" t="s">
        <v>114</v>
      </c>
      <c r="B156" s="16">
        <v>22.0</v>
      </c>
      <c r="C156" s="25">
        <f t="shared" si="1"/>
        <v>3</v>
      </c>
      <c r="G156" s="16">
        <v>30.0</v>
      </c>
      <c r="H156" s="25">
        <f t="shared" ref="H156:H166" si="2">MAX(0,G156-F156)</f>
        <v>16</v>
      </c>
    </row>
    <row r="157">
      <c r="A157" s="16" t="s">
        <v>114</v>
      </c>
      <c r="B157" s="16">
        <v>23.0</v>
      </c>
      <c r="C157" s="25">
        <f t="shared" si="1"/>
        <v>1</v>
      </c>
      <c r="G157" s="16">
        <v>20.0</v>
      </c>
      <c r="H157" s="25">
        <f t="shared" si="2"/>
        <v>11</v>
      </c>
    </row>
    <row r="158">
      <c r="A158" s="16" t="s">
        <v>114</v>
      </c>
      <c r="B158" s="16">
        <v>24.0</v>
      </c>
      <c r="C158" s="25">
        <f t="shared" si="1"/>
        <v>2</v>
      </c>
      <c r="G158" s="16">
        <v>20.0</v>
      </c>
      <c r="H158" s="25">
        <f t="shared" si="2"/>
        <v>6</v>
      </c>
    </row>
    <row r="159">
      <c r="A159" s="16" t="s">
        <v>114</v>
      </c>
      <c r="B159" s="16">
        <v>25.0</v>
      </c>
      <c r="C159" s="25">
        <f t="shared" si="1"/>
        <v>2</v>
      </c>
      <c r="G159" s="16">
        <v>10.0</v>
      </c>
      <c r="H159" s="25">
        <f t="shared" si="2"/>
        <v>3</v>
      </c>
    </row>
    <row r="160">
      <c r="A160" s="16" t="s">
        <v>114</v>
      </c>
      <c r="B160" s="16">
        <v>26.0</v>
      </c>
      <c r="C160" s="25">
        <f t="shared" si="1"/>
        <v>1</v>
      </c>
      <c r="G160" s="16">
        <v>10.0</v>
      </c>
      <c r="H160" s="25">
        <f t="shared" si="2"/>
        <v>4</v>
      </c>
    </row>
    <row r="161">
      <c r="A161" s="16" t="s">
        <v>147</v>
      </c>
      <c r="B161" s="16">
        <v>27.0</v>
      </c>
      <c r="C161" s="25">
        <f t="shared" si="1"/>
        <v>3</v>
      </c>
      <c r="G161" s="16">
        <v>15.0</v>
      </c>
      <c r="H161" s="25">
        <f t="shared" si="2"/>
        <v>9</v>
      </c>
    </row>
    <row r="162">
      <c r="A162" s="16" t="s">
        <v>147</v>
      </c>
      <c r="B162" s="16">
        <v>28.0</v>
      </c>
      <c r="C162" s="25">
        <f t="shared" si="1"/>
        <v>3</v>
      </c>
      <c r="G162" s="16">
        <v>40.0</v>
      </c>
      <c r="H162" s="25">
        <f t="shared" si="2"/>
        <v>25</v>
      </c>
    </row>
    <row r="163">
      <c r="A163" s="16" t="s">
        <v>147</v>
      </c>
      <c r="B163" s="16">
        <v>29.0</v>
      </c>
      <c r="C163" s="25" t="str">
        <f t="shared" si="1"/>
        <v/>
      </c>
      <c r="G163" s="16">
        <v>25.0</v>
      </c>
      <c r="H163" s="25">
        <f t="shared" si="2"/>
        <v>15</v>
      </c>
    </row>
    <row r="164">
      <c r="A164" s="16" t="s">
        <v>159</v>
      </c>
      <c r="B164" s="16">
        <v>30.0</v>
      </c>
      <c r="C164" s="25">
        <f t="shared" si="1"/>
        <v>2</v>
      </c>
      <c r="G164" s="16">
        <v>15.0</v>
      </c>
      <c r="H164" s="25">
        <f t="shared" si="2"/>
        <v>3</v>
      </c>
    </row>
    <row r="165">
      <c r="A165" s="16" t="s">
        <v>159</v>
      </c>
      <c r="B165" s="16">
        <v>31.0</v>
      </c>
      <c r="C165" s="25">
        <f t="shared" si="1"/>
        <v>3</v>
      </c>
      <c r="G165" s="16">
        <v>25.0</v>
      </c>
      <c r="H165" s="25">
        <f t="shared" si="2"/>
        <v>7</v>
      </c>
    </row>
    <row r="166">
      <c r="A166" s="16" t="s">
        <v>159</v>
      </c>
      <c r="B166" s="16">
        <v>32.0</v>
      </c>
      <c r="C166" s="25">
        <f t="shared" si="1"/>
        <v>4</v>
      </c>
      <c r="G166" s="16">
        <v>210.0</v>
      </c>
      <c r="H166" s="25">
        <f t="shared" si="2"/>
        <v>99</v>
      </c>
    </row>
    <row r="167">
      <c r="A167" s="16" t="s">
        <v>159</v>
      </c>
      <c r="B167" s="16">
        <v>33.0</v>
      </c>
      <c r="C167" s="25">
        <f t="shared" si="1"/>
        <v>5</v>
      </c>
    </row>
    <row r="168">
      <c r="A168" s="16" t="s">
        <v>176</v>
      </c>
      <c r="B168" s="16">
        <v>34.0</v>
      </c>
      <c r="C168" s="25">
        <f t="shared" si="1"/>
        <v>2</v>
      </c>
    </row>
    <row r="169">
      <c r="A169" s="16" t="s">
        <v>176</v>
      </c>
      <c r="B169" s="16">
        <v>35.0</v>
      </c>
      <c r="C169" s="25">
        <f t="shared" si="1"/>
        <v>5</v>
      </c>
    </row>
    <row r="170">
      <c r="A170" s="16" t="s">
        <v>185</v>
      </c>
      <c r="B170" s="16">
        <v>36.0</v>
      </c>
      <c r="C170" s="25">
        <f t="shared" si="1"/>
        <v>2</v>
      </c>
    </row>
    <row r="171">
      <c r="A171" s="16" t="s">
        <v>185</v>
      </c>
      <c r="B171" s="16">
        <v>37.0</v>
      </c>
      <c r="C171" s="25">
        <f t="shared" si="1"/>
        <v>4</v>
      </c>
    </row>
    <row r="172">
      <c r="A172" s="16" t="s">
        <v>185</v>
      </c>
      <c r="B172" s="16">
        <v>38.0</v>
      </c>
      <c r="C172" s="25">
        <f t="shared" si="1"/>
        <v>3</v>
      </c>
    </row>
    <row r="173">
      <c r="A173" s="16" t="s">
        <v>185</v>
      </c>
      <c r="B173" s="16">
        <v>39.0</v>
      </c>
      <c r="C173" s="25">
        <f t="shared" si="1"/>
        <v>4</v>
      </c>
    </row>
    <row r="174">
      <c r="A174" s="16" t="s">
        <v>185</v>
      </c>
      <c r="B174" s="16">
        <v>40.0</v>
      </c>
      <c r="C174" s="25">
        <f t="shared" si="1"/>
        <v>5</v>
      </c>
    </row>
    <row r="175">
      <c r="A175" s="16" t="s">
        <v>206</v>
      </c>
      <c r="B175" s="16">
        <v>41.0</v>
      </c>
      <c r="C175" s="25">
        <f t="shared" si="1"/>
        <v>2</v>
      </c>
    </row>
    <row r="176">
      <c r="A176" s="16" t="s">
        <v>206</v>
      </c>
      <c r="B176" s="16">
        <v>42.0</v>
      </c>
      <c r="C176" s="25">
        <f t="shared" si="1"/>
        <v>4</v>
      </c>
    </row>
    <row r="327">
      <c r="A327" s="16" t="s">
        <v>223</v>
      </c>
      <c r="B327" s="16" t="s">
        <v>224</v>
      </c>
    </row>
    <row r="328">
      <c r="A328" s="16" t="s">
        <v>5</v>
      </c>
      <c r="B328" s="25">
        <f t="shared" ref="B328:B333" si="3">COUNTIF($H$3:$H$100,A328)</f>
        <v>4</v>
      </c>
    </row>
    <row r="329">
      <c r="A329" s="16" t="s">
        <v>7</v>
      </c>
      <c r="B329" s="25">
        <f t="shared" si="3"/>
        <v>9</v>
      </c>
    </row>
    <row r="330">
      <c r="A330" s="16" t="s">
        <v>9</v>
      </c>
      <c r="B330" s="25">
        <f t="shared" si="3"/>
        <v>7</v>
      </c>
    </row>
    <row r="331">
      <c r="A331" s="16" t="s">
        <v>11</v>
      </c>
      <c r="B331" s="25">
        <f t="shared" si="3"/>
        <v>7</v>
      </c>
    </row>
    <row r="332">
      <c r="A332" s="16" t="s">
        <v>13</v>
      </c>
      <c r="B332" s="25">
        <f t="shared" si="3"/>
        <v>8</v>
      </c>
    </row>
    <row r="333">
      <c r="A333" s="16" t="s">
        <v>16</v>
      </c>
      <c r="B333" s="25">
        <f t="shared" si="3"/>
        <v>7</v>
      </c>
    </row>
  </sheetData>
  <customSheetViews>
    <customSheetView guid="{AA74A519-B95B-49EF-8B25-E9D3BF3B0FDD}" filter="1" showAutoFilter="1">
      <autoFilter ref="$A$3:$K$46"/>
    </customSheetView>
  </customSheetViews>
  <mergeCells count="10">
    <mergeCell ref="A37:A38"/>
    <mergeCell ref="A39:A43"/>
    <mergeCell ref="A44:A45"/>
    <mergeCell ref="A4:A6"/>
    <mergeCell ref="A7:A10"/>
    <mergeCell ref="A11:A16"/>
    <mergeCell ref="A17:A21"/>
    <mergeCell ref="A22:A29"/>
    <mergeCell ref="A30:A32"/>
    <mergeCell ref="A33:A36"/>
  </mergeCells>
  <conditionalFormatting sqref="H4:I999">
    <cfRule type="expression" dxfId="1" priority="1" stopIfTrue="1">
      <formula>$H4="1 - Insuffisant"</formula>
    </cfRule>
  </conditionalFormatting>
  <conditionalFormatting sqref="H4:I999">
    <cfRule type="expression" dxfId="2" priority="2" stopIfTrue="1">
      <formula>$H4="2 - Émergent"</formula>
    </cfRule>
  </conditionalFormatting>
  <conditionalFormatting sqref="H4:I999">
    <cfRule type="expression" dxfId="3" priority="3" stopIfTrue="1">
      <formula>$H4="3 - Intermédiaire"</formula>
    </cfRule>
  </conditionalFormatting>
  <conditionalFormatting sqref="H4:I999">
    <cfRule type="expression" dxfId="4" priority="4" stopIfTrue="1">
      <formula>$H4="4 - Confirmé"</formula>
    </cfRule>
  </conditionalFormatting>
  <conditionalFormatting sqref="H4:I999">
    <cfRule type="expression" dxfId="5" priority="5" stopIfTrue="1">
      <formula>$H4="5 - Optimal"</formula>
    </cfRule>
  </conditionalFormatting>
  <conditionalFormatting sqref="H4:I999">
    <cfRule type="expression" dxfId="6" priority="6" stopIfTrue="1">
      <formula>$H4="Non applicable"</formula>
    </cfRule>
  </conditionalFormatting>
  <conditionalFormatting sqref="I4:I45">
    <cfRule type="expression" dxfId="1" priority="7">
      <formula>$H4=1</formula>
    </cfRule>
  </conditionalFormatting>
  <conditionalFormatting sqref="I4:I45">
    <cfRule type="expression" dxfId="2" priority="8">
      <formula>$H4=2</formula>
    </cfRule>
  </conditionalFormatting>
  <conditionalFormatting sqref="I4:I45">
    <cfRule type="expression" dxfId="3" priority="9">
      <formula>$H4=3</formula>
    </cfRule>
  </conditionalFormatting>
  <conditionalFormatting sqref="I4:I45">
    <cfRule type="expression" dxfId="4" priority="10">
      <formula>$H4=4</formula>
    </cfRule>
  </conditionalFormatting>
  <conditionalFormatting sqref="I4:I45">
    <cfRule type="expression" dxfId="5" priority="11">
      <formula>$H4=5</formula>
    </cfRule>
  </conditionalFormatting>
  <conditionalFormatting sqref="I4:I45">
    <cfRule type="expression" dxfId="6" priority="12">
      <formula>$H4="NA"</formula>
    </cfRule>
  </conditionalFormatting>
  <dataValidations>
    <dataValidation type="list" allowBlank="1" showErrorMessage="1" sqref="H4:H45">
      <formula1>"1 - Insuffisant,2 - Émergent,3 - Intermédiaire,4 - Confirmé,5 - Optimal,Non Applicable"</formula1>
    </dataValidation>
  </dataValidations>
  <hyperlinks>
    <hyperlink r:id="rId3" location="page=7" ref="E4"/>
    <hyperlink r:id="rId4" location="page=8" ref="E5"/>
    <hyperlink r:id="rId5" location="page=9" ref="E6"/>
    <hyperlink r:id="rId6" location="page=11" ref="E7"/>
    <hyperlink r:id="rId7" location="page=12" ref="E8"/>
    <hyperlink r:id="rId8" location="page=13" ref="E9"/>
    <hyperlink r:id="rId9" location="page=14" ref="E10"/>
    <hyperlink r:id="rId10" location="page=16" ref="E11"/>
    <hyperlink r:id="rId11" location="page=17" ref="E12"/>
    <hyperlink r:id="rId12" location="page=18" ref="E13"/>
    <hyperlink r:id="rId13" location="page=19" ref="E14"/>
    <hyperlink r:id="rId14" location="page=20" ref="E15"/>
    <hyperlink r:id="rId15" location="page=21" ref="E16"/>
    <hyperlink r:id="rId16" location="page=23" ref="E17"/>
    <hyperlink r:id="rId17" location="page=24" ref="E18"/>
    <hyperlink r:id="rId18" location="page=25" ref="E19"/>
    <hyperlink r:id="rId19" location="page=26" ref="E20"/>
    <hyperlink r:id="rId20" location="page=27" ref="E21"/>
    <hyperlink r:id="rId21" location="page=29" ref="E22"/>
    <hyperlink r:id="rId22" location="page=30" ref="E23"/>
    <hyperlink r:id="rId23" location="page=31" ref="E24"/>
    <hyperlink r:id="rId24" location="page=32" ref="E25"/>
    <hyperlink r:id="rId25" location="page=33" ref="E26"/>
    <hyperlink r:id="rId26" location="page=34" ref="E27"/>
    <hyperlink r:id="rId27" location="page=36" ref="E28"/>
    <hyperlink r:id="rId28" location="page=37" ref="E29"/>
    <hyperlink r:id="rId29" location="page=39" ref="E30"/>
    <hyperlink r:id="rId30" location="page=40" ref="E31"/>
    <hyperlink r:id="rId31" location="page=41" ref="E32"/>
    <hyperlink r:id="rId32" location="page=43" ref="E33"/>
    <hyperlink r:id="rId33" location="page=44" ref="E34"/>
    <hyperlink r:id="rId34" location="page=45" ref="E35"/>
    <hyperlink r:id="rId35" location="page=46" ref="E36"/>
    <hyperlink r:id="rId36" location="page=48" ref="E37"/>
    <hyperlink r:id="rId37" location="page=49" ref="E38"/>
    <hyperlink r:id="rId38" location="page=51" ref="E39"/>
    <hyperlink r:id="rId39" location="page=53" ref="E40"/>
    <hyperlink r:id="rId40" location="page=54" ref="E41"/>
    <hyperlink r:id="rId41" location="page=55" ref="E42"/>
    <hyperlink r:id="rId42" location="page=56" ref="E43"/>
    <hyperlink r:id="rId43" location="page=58" ref="E44"/>
    <hyperlink r:id="rId44" location="page=60" ref="E45"/>
  </hyperlinks>
  <printOptions gridLines="1" horizontalCentered="1"/>
  <pageMargins bottom="0.75" footer="0.0" header="0.0" left="0.7" right="0.7" top="0.75"/>
  <pageSetup fitToHeight="0" paperSize="9" cellComments="atEnd" orientation="landscape" pageOrder="overThenDown"/>
  <drawing r:id="rId4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21">
      <c r="C21" s="16"/>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37395"/>
    <outlinePr summaryBelow="0" summaryRight="0"/>
    <pageSetUpPr fitToPage="1"/>
  </sheetPr>
  <sheetViews>
    <sheetView workbookViewId="0"/>
  </sheetViews>
  <sheetFormatPr customHeight="1" defaultColWidth="12.63" defaultRowHeight="15.75"/>
  <cols>
    <col customWidth="1" min="1" max="1" width="68.38"/>
    <col customWidth="1" min="2" max="2" width="14.25"/>
    <col customWidth="1" min="3" max="3" width="57.5"/>
    <col customWidth="1" min="4" max="4" width="140.25"/>
    <col customWidth="1" min="5" max="5" width="162.38"/>
    <col customWidth="1" min="6" max="6" width="33.13"/>
    <col customWidth="1" min="7" max="7" width="22.25"/>
    <col customWidth="1" min="8" max="8" width="61.5"/>
    <col customWidth="1" min="9" max="9" width="23.38"/>
    <col customWidth="1" min="10" max="11" width="85.75"/>
    <col customWidth="1" min="12" max="12" width="28.25"/>
    <col customWidth="1" min="13" max="13" width="28.75"/>
  </cols>
  <sheetData>
    <row r="1" ht="31.5" customHeight="1">
      <c r="M1" s="88"/>
      <c r="N1" s="88"/>
      <c r="O1" s="88"/>
      <c r="P1" s="88"/>
      <c r="Q1" s="88"/>
      <c r="R1" s="88"/>
      <c r="S1" s="88"/>
      <c r="T1" s="88"/>
      <c r="U1" s="88"/>
      <c r="V1" s="88"/>
      <c r="W1" s="88"/>
      <c r="X1" s="88"/>
      <c r="Y1" s="88"/>
      <c r="Z1" s="88"/>
      <c r="AA1" s="88"/>
      <c r="AB1" s="88"/>
      <c r="AC1" s="88"/>
    </row>
    <row r="2" ht="60.75" customHeight="1">
      <c r="A2" s="89" t="s">
        <v>225</v>
      </c>
      <c r="B2" s="89" t="s">
        <v>226</v>
      </c>
      <c r="C2" s="89" t="s">
        <v>227</v>
      </c>
      <c r="D2" s="89" t="s">
        <v>228</v>
      </c>
      <c r="E2" s="89" t="s">
        <v>229</v>
      </c>
      <c r="F2" s="89" t="s">
        <v>230</v>
      </c>
      <c r="G2" s="89" t="s">
        <v>231</v>
      </c>
      <c r="H2" s="89" t="s">
        <v>232</v>
      </c>
      <c r="I2" s="89" t="s">
        <v>34</v>
      </c>
      <c r="J2" s="89" t="s">
        <v>35</v>
      </c>
      <c r="K2" s="89" t="s">
        <v>233</v>
      </c>
      <c r="L2" s="89" t="s">
        <v>234</v>
      </c>
      <c r="M2" s="89" t="s">
        <v>235</v>
      </c>
      <c r="N2" s="90"/>
      <c r="O2" s="90"/>
      <c r="P2" s="90"/>
      <c r="Q2" s="90"/>
      <c r="R2" s="90"/>
      <c r="S2" s="90"/>
      <c r="T2" s="90"/>
      <c r="U2" s="90"/>
      <c r="V2" s="90"/>
      <c r="W2" s="90"/>
      <c r="X2" s="90"/>
      <c r="Y2" s="90"/>
      <c r="Z2" s="90"/>
      <c r="AA2" s="90"/>
      <c r="AB2" s="90"/>
      <c r="AC2" s="90"/>
    </row>
    <row r="3" ht="60.75" customHeight="1">
      <c r="A3" s="28" t="s">
        <v>236</v>
      </c>
      <c r="B3" s="18">
        <v>1.0</v>
      </c>
      <c r="C3" s="30" t="s">
        <v>237</v>
      </c>
      <c r="D3" s="30" t="s">
        <v>238</v>
      </c>
      <c r="E3" s="30" t="s">
        <v>239</v>
      </c>
      <c r="F3" s="91" t="s">
        <v>240</v>
      </c>
      <c r="G3" s="91" t="s">
        <v>241</v>
      </c>
      <c r="H3" s="30" t="s">
        <v>242</v>
      </c>
      <c r="I3" s="91" t="s">
        <v>13</v>
      </c>
      <c r="J3" s="92" t="str">
        <f t="array" ref="J3">IFERROR(INDEX('Echelle de maturité'!$B$2:$B$7, MATCH(I3, 'Echelle de maturité'!$C$2:$C$7, 0)), "")</f>
        <v>Des objectifs de réduction des risques cyber intégrés à la stratégie de l'organisation. Des moyens humains, budgétaires conséquents, un plan d'action cyber exhaustif, adapté aux menaces stratégiques.</v>
      </c>
      <c r="K3" s="30" t="str">
        <f t="array" ref="K3:K34">MAP(C3:C34, I3:I34, LAMBDA(exigence, niveau, IF(OR(niveau="1 - Insuffisant", niveau="2 - Émergent"), IFERROR(VLOOKUP(exigence, {"Définir la responsabilité de la direction","Absence de vision stratégique et de budget adéquat. En cas de crise, la responsabilité légale des dirigeants peut être engagée." ; "Définir les rôles et responsabilités TIC","Confusion dans les actions de sécurité et conflits d'intérêts. Risque d'inaction ou de mauvaise gestion lors d'un incident critique." ; "Mettre en place un cadre de gestion des risques TIC","Pilotage à l'aveugle de la sécurité. Les vulnérabilités majeures peuvent passer inaperçues jusqu'à l'exploitation par un attaquant." ; "Documenter les politiques, procédures et outils TIC","Perte de connaissance et pratiques hétérogènes. Difficulté à maintenir un niveau de sécurité constant et à prouver la conformité." ; "Réaliser des audits internes TIC","Sentiment de fausse sécurité. Les failles systémiques s'accumulent sans être détectées ni corrigées." ; "Définir une stratégie de résilience numérique","Incapacité à maintenir l'activité en cas de crise majeure. Risque de paralysie prolongée et de pertes financières massives." ; "Identifier les actifs informationnels et TIC","Impossibilité de protéger ce qu'on ne connaît pas. Des actifs critiques 'fantômes' peuvent servir de porte d'entrée aux attaquants." ; "Protéger les actifs TIC","Exposition directe aux cyberattaques. Risque élevé de compromission, de vol de données ou de destruction d'infrastructures." ; "Maintenir des systèmes TIC fiables et à jour","Exploitation facile de vulnérabilités connues par les cybercriminels. Risque d'intrusion automatisée via des failles non patchées." ; "Détecter les anomalies et incidents TIC","Les attaquants peuvent rester cachés longtemps dans le réseau. L'impact de l'attaque s'aggrave avec le temps de détection." ; "Mettre en place une politique de continuité TIC","Arrêt total des opérations en cas de sinistre. Incapacité à fournir les services essentiels aux clients." ; "Définir des plans de réponse et de récupération","Panique et désorganisation lors d'une cyberattaque. Les dommages s'amplifient par manque de réaction coordonnée." ; "Définir des sauvegardes et restaurations","Perte définitive de données critiques suite à un ransomware ou un sinistre. Impossibilité de relancer l'activité." ; "Mettre en place un processus de gestion des incidents TIC","Traitement inefficace des incidents. Les mêmes attaques peuvent se reproduire sans amélioration des défenses." ; "Classifier les incidents selon leur gravité","Gaspillage des ressources sur des incidents mineurs au détriment des crises réelles. Risque de mauvaise appréciation de l'impact." ; "Notifier les incidents TIC majeurs","Sanctions réglementaires sévères et amendes. Perte de confiance des autorités et des partenaires." ; "Conserver une trace des incidents TIC","Incapacité à tirer les leçons du passé. L'organisation reste vulnérable aux mêmes méthodes d'attaque." ; "Prévoir une stratégie de communication en cas d’incident TIC","Communication chaotique en temps de crise. Atteinte grave à la réputation et perte de confiance des clients." ; "Réaliser des tests de résilience basiques","Découverte des failles par les attaquants plutôt que par l'organisation. Augmentation de la surface d'attaque exploitable." ; "Réaliser des tests de pénétration fondés sur la menace (TLPT)","Illusion de sécurité face à des attaquants avancés. Les défenses ne sont pas éprouvées contre des scénarios réels complexes." ; "Corriger les faiblesses détectées lors des tests","Les vulnérabilités connues restent exploitables. Négligence coupable facilitant grandement le travail des cybercriminels." ; "Gérer les risques liés aux tiers TIC","Compromission de l'organisation via un partenaire moins sécurisé (attaque par rebond). Fuite de données confiées à des tiers." ; "Tenir un registre des contrats TIC","Perte de contrôle sur les prestataires et les données externalisées. Difficulté à évaluer l'exposition globale aux risques." ; "Évaluer les prestataires avant contrat","Intégration de partenaires vulnérables dans l'écosystème. Introduction de failles de sécurité dès le début de la relation." ; "Définir les exigences contractuelles","Aucun levier juridique pour imposer des mesures de sécurité. Impossibilité d'exiger des réparations en cas de défaillance du tiers." ; "Prévoir des droits d’audit et de contrôle","Confiance aveugle envers les prestataires. Impossibilité de vérifier la réalité des mesures de sécurité annoncées." ; "Prévoir une stratégie de sortie","Dépendance totale à un prestataire (vendor lock-in). Risque de paralysie si le partenaire fait faillite ou subit une attaque." ; "Participer au partage d'informations sur les menaces","Isolement face aux nouvelles menaces. L'organisation réagit avec retard par rapport au reste du secteur financier." ; "Réaliser des revues post-incident","Répétition des mêmes erreurs de gestion de crise. Aucune amélioration continue de la résilience." ; "Intégrer les leçons apprises","Stagnation du niveau de sécurité. L'organisation n'évolue pas au même rythme que les techniques d'attaque." ; "Former et sensibiliser le personnel","Les employés deviennent le maillon faible (phishing, ingénierie sociale). Augmentation des incidents liés à des erreurs humaines." ; "Suivre les évolutions technologiques et les cybermenaces","Obsolescence des mesures de défense. L'organisation devient une cible facile pour les nouvelles méthodes d'attaque."}, 2, FALSE), ""), "")))</f>
        <v/>
      </c>
      <c r="L3" s="93"/>
      <c r="M3" s="94"/>
      <c r="N3" s="90"/>
      <c r="O3" s="90"/>
      <c r="P3" s="90"/>
      <c r="Q3" s="90"/>
      <c r="R3" s="90"/>
      <c r="S3" s="90"/>
      <c r="T3" s="90"/>
      <c r="U3" s="90"/>
      <c r="V3" s="90"/>
      <c r="W3" s="90"/>
      <c r="X3" s="90"/>
      <c r="Y3" s="90"/>
      <c r="Z3" s="90"/>
      <c r="AA3" s="90"/>
      <c r="AB3" s="90"/>
      <c r="AC3" s="90"/>
    </row>
    <row r="4" ht="60.75" customHeight="1">
      <c r="A4" s="26"/>
      <c r="B4" s="18">
        <v>2.0</v>
      </c>
      <c r="C4" s="30" t="s">
        <v>243</v>
      </c>
      <c r="D4" s="30" t="s">
        <v>244</v>
      </c>
      <c r="E4" s="30" t="s">
        <v>245</v>
      </c>
      <c r="F4" s="91" t="s">
        <v>240</v>
      </c>
      <c r="G4" s="91" t="s">
        <v>241</v>
      </c>
      <c r="H4" s="30" t="s">
        <v>246</v>
      </c>
      <c r="I4" s="91" t="s">
        <v>7</v>
      </c>
      <c r="J4" s="92" t="str">
        <f t="array" ref="J4">IFERROR(INDEX('Echelle de maturité'!$B$2:$B$7, MATCH(I4, 'Echelle de maturité'!$C$2:$C$7, 0)), "")</f>
        <v>Une prise de conscience de l'existence de risques cyber pour l'organisation et une volonté de mettre en place des premières mesures cyber pertinentes.</v>
      </c>
      <c r="K4" s="30" t="s">
        <v>247</v>
      </c>
      <c r="L4" s="93"/>
      <c r="M4" s="94"/>
      <c r="N4" s="90"/>
      <c r="O4" s="90"/>
      <c r="P4" s="90"/>
      <c r="Q4" s="90"/>
      <c r="R4" s="90"/>
      <c r="S4" s="90"/>
      <c r="T4" s="90"/>
      <c r="U4" s="90"/>
      <c r="V4" s="90"/>
      <c r="W4" s="90"/>
      <c r="X4" s="90"/>
      <c r="Y4" s="90"/>
      <c r="Z4" s="90"/>
      <c r="AA4" s="90"/>
      <c r="AB4" s="90"/>
      <c r="AC4" s="90"/>
    </row>
    <row r="5" ht="60.75" customHeight="1">
      <c r="A5" s="26"/>
      <c r="B5" s="18">
        <v>3.0</v>
      </c>
      <c r="C5" s="30" t="s">
        <v>248</v>
      </c>
      <c r="D5" s="30" t="s">
        <v>249</v>
      </c>
      <c r="E5" s="30" t="s">
        <v>250</v>
      </c>
      <c r="F5" s="91" t="s">
        <v>240</v>
      </c>
      <c r="G5" s="91" t="s">
        <v>241</v>
      </c>
      <c r="H5" s="30" t="s">
        <v>251</v>
      </c>
      <c r="I5" s="91" t="s">
        <v>11</v>
      </c>
      <c r="J5" s="92" t="str">
        <f t="array" ref="J5">IFERROR(INDEX('Echelle de maturité'!$B$2:$B$7, MATCH(I5, 'Echelle de maturité'!$C$2:$C$7, 0)), "")</f>
        <v>Une cartographie précise de ses risques cyber pour l'organisation, un plan d'action cyber approfondi et des moyens humains et budgétaires dédiés.</v>
      </c>
      <c r="K5" s="92" t="s">
        <v>252</v>
      </c>
      <c r="L5" s="93"/>
      <c r="M5" s="94"/>
      <c r="N5" s="90"/>
      <c r="O5" s="90"/>
      <c r="P5" s="90"/>
      <c r="Q5" s="90"/>
      <c r="R5" s="90"/>
      <c r="S5" s="90"/>
      <c r="T5" s="90"/>
      <c r="U5" s="90"/>
      <c r="V5" s="90"/>
      <c r="W5" s="90"/>
      <c r="X5" s="90"/>
      <c r="Y5" s="90"/>
      <c r="Z5" s="90"/>
      <c r="AA5" s="90"/>
      <c r="AB5" s="90"/>
      <c r="AC5" s="90"/>
    </row>
    <row r="6" ht="51.0" customHeight="1">
      <c r="A6" s="26"/>
      <c r="B6" s="18">
        <v>4.0</v>
      </c>
      <c r="C6" s="30" t="s">
        <v>253</v>
      </c>
      <c r="D6" s="30" t="s">
        <v>254</v>
      </c>
      <c r="E6" s="30" t="s">
        <v>255</v>
      </c>
      <c r="F6" s="91" t="s">
        <v>240</v>
      </c>
      <c r="G6" s="91" t="s">
        <v>241</v>
      </c>
      <c r="H6" s="30" t="s">
        <v>256</v>
      </c>
      <c r="I6" s="91" t="s">
        <v>11</v>
      </c>
      <c r="J6" s="92" t="str">
        <f t="array" ref="J6">IFERROR(INDEX('Echelle de maturité'!$B$2:$B$7, MATCH(I6, 'Echelle de maturité'!$C$2:$C$7, 0)), "")</f>
        <v>Une cartographie précise de ses risques cyber pour l'organisation, un plan d'action cyber approfondi et des moyens humains et budgétaires dédiés.</v>
      </c>
      <c r="K6" s="30" t="s">
        <v>252</v>
      </c>
      <c r="L6" s="93"/>
      <c r="M6" s="94"/>
      <c r="N6" s="90"/>
      <c r="O6" s="90"/>
      <c r="P6" s="90"/>
      <c r="Q6" s="90"/>
      <c r="R6" s="90"/>
      <c r="S6" s="90"/>
      <c r="T6" s="90"/>
      <c r="U6" s="90"/>
      <c r="V6" s="90"/>
      <c r="W6" s="90"/>
      <c r="X6" s="90"/>
      <c r="Y6" s="90"/>
      <c r="Z6" s="90"/>
      <c r="AA6" s="90"/>
      <c r="AB6" s="90"/>
      <c r="AC6" s="90"/>
    </row>
    <row r="7" ht="46.5" customHeight="1">
      <c r="A7" s="26"/>
      <c r="B7" s="18">
        <v>5.0</v>
      </c>
      <c r="C7" s="30" t="s">
        <v>257</v>
      </c>
      <c r="D7" s="30" t="s">
        <v>258</v>
      </c>
      <c r="E7" s="30" t="s">
        <v>259</v>
      </c>
      <c r="F7" s="91" t="s">
        <v>260</v>
      </c>
      <c r="G7" s="91" t="s">
        <v>261</v>
      </c>
      <c r="H7" s="30" t="s">
        <v>262</v>
      </c>
      <c r="I7" s="91" t="s">
        <v>13</v>
      </c>
      <c r="J7" s="92" t="str">
        <f t="array" ref="J7">IFERROR(INDEX('Echelle de maturité'!$B$2:$B$7, MATCH(I7, 'Echelle de maturité'!$C$2:$C$7, 0)), "")</f>
        <v>Des objectifs de réduction des risques cyber intégrés à la stratégie de l'organisation. Des moyens humains, budgétaires conséquents, un plan d'action cyber exhaustif, adapté aux menaces stratégiques.</v>
      </c>
      <c r="K7" s="92" t="s">
        <v>252</v>
      </c>
      <c r="L7" s="93"/>
      <c r="M7" s="94"/>
      <c r="N7" s="90"/>
      <c r="O7" s="90"/>
      <c r="P7" s="90"/>
      <c r="Q7" s="90"/>
      <c r="R7" s="90"/>
      <c r="S7" s="90"/>
      <c r="T7" s="90"/>
      <c r="U7" s="90"/>
      <c r="V7" s="90"/>
      <c r="W7" s="90"/>
      <c r="X7" s="90"/>
      <c r="Y7" s="90"/>
      <c r="Z7" s="90"/>
      <c r="AA7" s="90"/>
      <c r="AB7" s="90"/>
      <c r="AC7" s="90"/>
    </row>
    <row r="8" ht="57.75" customHeight="1">
      <c r="A8" s="26"/>
      <c r="B8" s="18">
        <v>6.0</v>
      </c>
      <c r="C8" s="30" t="s">
        <v>263</v>
      </c>
      <c r="D8" s="30" t="s">
        <v>264</v>
      </c>
      <c r="E8" s="30" t="s">
        <v>265</v>
      </c>
      <c r="F8" s="91" t="s">
        <v>240</v>
      </c>
      <c r="G8" s="91" t="s">
        <v>241</v>
      </c>
      <c r="H8" s="30" t="s">
        <v>266</v>
      </c>
      <c r="I8" s="91" t="s">
        <v>13</v>
      </c>
      <c r="J8" s="92" t="str">
        <f t="array" ref="J8">IFERROR(INDEX('Echelle de maturité'!$B$2:$B$7, MATCH(I8, 'Echelle de maturité'!$C$2:$C$7, 0)), "")</f>
        <v>Des objectifs de réduction des risques cyber intégrés à la stratégie de l'organisation. Des moyens humains, budgétaires conséquents, un plan d'action cyber exhaustif, adapté aux menaces stratégiques.</v>
      </c>
      <c r="K8" s="92" t="s">
        <v>252</v>
      </c>
      <c r="L8" s="93"/>
      <c r="M8" s="94"/>
      <c r="N8" s="90"/>
      <c r="O8" s="90"/>
      <c r="P8" s="90"/>
      <c r="Q8" s="90"/>
      <c r="R8" s="90"/>
      <c r="S8" s="90"/>
      <c r="T8" s="90"/>
      <c r="U8" s="90"/>
      <c r="V8" s="90"/>
      <c r="W8" s="90"/>
      <c r="X8" s="90"/>
      <c r="Y8" s="90"/>
      <c r="Z8" s="90"/>
      <c r="AA8" s="90"/>
      <c r="AB8" s="90"/>
      <c r="AC8" s="90"/>
    </row>
    <row r="9" ht="55.5" customHeight="1">
      <c r="A9" s="26"/>
      <c r="B9" s="18">
        <v>7.0</v>
      </c>
      <c r="C9" s="30" t="s">
        <v>267</v>
      </c>
      <c r="D9" s="30" t="s">
        <v>268</v>
      </c>
      <c r="E9" s="30" t="s">
        <v>269</v>
      </c>
      <c r="F9" s="91" t="s">
        <v>270</v>
      </c>
      <c r="G9" s="91" t="s">
        <v>271</v>
      </c>
      <c r="H9" s="30" t="s">
        <v>272</v>
      </c>
      <c r="I9" s="91" t="s">
        <v>13</v>
      </c>
      <c r="J9" s="30" t="str">
        <f t="array" ref="J9">IFERROR(INDEX('Echelle de maturité'!$B$2:$B$7, MATCH(I9, 'Echelle de maturité'!$C$2:$C$7, 0)), "")</f>
        <v>Des objectifs de réduction des risques cyber intégrés à la stratégie de l'organisation. Des moyens humains, budgétaires conséquents, un plan d'action cyber exhaustif, adapté aux menaces stratégiques.</v>
      </c>
      <c r="K9" s="30" t="s">
        <v>252</v>
      </c>
      <c r="L9" s="91"/>
      <c r="M9" s="94"/>
      <c r="N9" s="90"/>
      <c r="O9" s="90"/>
      <c r="P9" s="90"/>
      <c r="Q9" s="90"/>
      <c r="R9" s="90"/>
      <c r="S9" s="90"/>
      <c r="T9" s="90"/>
      <c r="U9" s="90"/>
      <c r="V9" s="90"/>
      <c r="W9" s="90"/>
      <c r="X9" s="90"/>
      <c r="Y9" s="90"/>
      <c r="Z9" s="90"/>
      <c r="AA9" s="90"/>
      <c r="AB9" s="90"/>
      <c r="AC9" s="90"/>
    </row>
    <row r="10" ht="43.5" customHeight="1">
      <c r="A10" s="26"/>
      <c r="B10" s="18">
        <v>8.0</v>
      </c>
      <c r="C10" s="30" t="s">
        <v>273</v>
      </c>
      <c r="D10" s="30" t="s">
        <v>274</v>
      </c>
      <c r="E10" s="30" t="s">
        <v>275</v>
      </c>
      <c r="F10" s="91" t="s">
        <v>270</v>
      </c>
      <c r="G10" s="91" t="s">
        <v>276</v>
      </c>
      <c r="H10" s="30" t="s">
        <v>277</v>
      </c>
      <c r="I10" s="91" t="s">
        <v>11</v>
      </c>
      <c r="J10" s="30" t="str">
        <f t="array" ref="J10">IFERROR(INDEX('Echelle de maturité'!$B$2:$B$7, MATCH(I10, 'Echelle de maturité'!$C$2:$C$7, 0)), "")</f>
        <v>Une cartographie précise de ses risques cyber pour l'organisation, un plan d'action cyber approfondi et des moyens humains et budgétaires dédiés.</v>
      </c>
      <c r="K10" s="30" t="s">
        <v>252</v>
      </c>
      <c r="L10" s="91"/>
      <c r="M10" s="94"/>
      <c r="N10" s="90"/>
      <c r="O10" s="90"/>
      <c r="P10" s="90"/>
      <c r="Q10" s="90"/>
      <c r="R10" s="90"/>
      <c r="S10" s="90"/>
      <c r="T10" s="90"/>
      <c r="U10" s="90"/>
      <c r="V10" s="90"/>
      <c r="W10" s="90"/>
      <c r="X10" s="90"/>
      <c r="Y10" s="90"/>
      <c r="Z10" s="90"/>
      <c r="AA10" s="90"/>
      <c r="AB10" s="90"/>
      <c r="AC10" s="90"/>
    </row>
    <row r="11" ht="45.0" customHeight="1">
      <c r="A11" s="26"/>
      <c r="B11" s="18">
        <v>9.0</v>
      </c>
      <c r="C11" s="30" t="s">
        <v>278</v>
      </c>
      <c r="D11" s="30" t="s">
        <v>279</v>
      </c>
      <c r="E11" s="30" t="s">
        <v>280</v>
      </c>
      <c r="F11" s="91" t="s">
        <v>281</v>
      </c>
      <c r="G11" s="91" t="s">
        <v>276</v>
      </c>
      <c r="H11" s="30" t="s">
        <v>282</v>
      </c>
      <c r="I11" s="91" t="s">
        <v>13</v>
      </c>
      <c r="J11" s="30" t="str">
        <f t="array" ref="J11">IFERROR(INDEX('Echelle de maturité'!$B$2:$B$7, MATCH(I11, 'Echelle de maturité'!$C$2:$C$7, 0)), "")</f>
        <v>Des objectifs de réduction des risques cyber intégrés à la stratégie de l'organisation. Des moyens humains, budgétaires conséquents, un plan d'action cyber exhaustif, adapté aux menaces stratégiques.</v>
      </c>
      <c r="K11" s="30" t="s">
        <v>252</v>
      </c>
      <c r="L11" s="91"/>
      <c r="M11" s="94"/>
      <c r="N11" s="90"/>
      <c r="O11" s="90"/>
      <c r="P11" s="90"/>
      <c r="Q11" s="90"/>
      <c r="R11" s="90"/>
      <c r="S11" s="90"/>
      <c r="T11" s="90"/>
      <c r="U11" s="90"/>
      <c r="V11" s="90"/>
      <c r="W11" s="90"/>
      <c r="X11" s="90"/>
      <c r="Y11" s="90"/>
      <c r="Z11" s="90"/>
      <c r="AA11" s="90"/>
      <c r="AB11" s="90"/>
      <c r="AC11" s="90"/>
    </row>
    <row r="12" ht="45.75" customHeight="1">
      <c r="A12" s="26"/>
      <c r="B12" s="18">
        <v>10.0</v>
      </c>
      <c r="C12" s="30" t="s">
        <v>283</v>
      </c>
      <c r="D12" s="30" t="s">
        <v>284</v>
      </c>
      <c r="E12" s="30" t="s">
        <v>285</v>
      </c>
      <c r="F12" s="91" t="s">
        <v>286</v>
      </c>
      <c r="G12" s="91" t="s">
        <v>287</v>
      </c>
      <c r="H12" s="30" t="s">
        <v>288</v>
      </c>
      <c r="I12" s="91" t="s">
        <v>5</v>
      </c>
      <c r="J12" s="30" t="str">
        <f t="array" ref="J12">IFERROR(INDEX('Echelle de maturité'!$B$2:$B$7, MATCH(I12, 'Echelle de maturité'!$C$2:$C$7, 0)), "")</f>
        <v>Une conscience insuffisante des risques cyber pesant sur l'organisation. Pas ou peu de mesures spécifiques mises en oeuvre en matière de cybersécurité.</v>
      </c>
      <c r="K12" s="30" t="s">
        <v>289</v>
      </c>
      <c r="L12" s="91"/>
      <c r="M12" s="94"/>
      <c r="N12" s="90"/>
      <c r="O12" s="90"/>
      <c r="P12" s="90"/>
      <c r="Q12" s="90"/>
      <c r="R12" s="90"/>
      <c r="S12" s="90"/>
      <c r="T12" s="90"/>
      <c r="U12" s="90"/>
      <c r="V12" s="90"/>
      <c r="W12" s="90"/>
      <c r="X12" s="90"/>
      <c r="Y12" s="90"/>
      <c r="Z12" s="90"/>
      <c r="AA12" s="90"/>
      <c r="AB12" s="90"/>
      <c r="AC12" s="90"/>
    </row>
    <row r="13" ht="51.0" customHeight="1">
      <c r="A13" s="26"/>
      <c r="B13" s="18">
        <v>11.0</v>
      </c>
      <c r="C13" s="30" t="s">
        <v>290</v>
      </c>
      <c r="D13" s="30" t="s">
        <v>291</v>
      </c>
      <c r="E13" s="30" t="s">
        <v>292</v>
      </c>
      <c r="F13" s="91" t="s">
        <v>293</v>
      </c>
      <c r="G13" s="91" t="s">
        <v>294</v>
      </c>
      <c r="H13" s="30" t="s">
        <v>295</v>
      </c>
      <c r="I13" s="91" t="s">
        <v>5</v>
      </c>
      <c r="J13" s="30" t="str">
        <f t="array" ref="J13">IFERROR(INDEX('Echelle de maturité'!$B$2:$B$7, MATCH(I13, 'Echelle de maturité'!$C$2:$C$7, 0)), "")</f>
        <v>Une conscience insuffisante des risques cyber pesant sur l'organisation. Pas ou peu de mesures spécifiques mises en oeuvre en matière de cybersécurité.</v>
      </c>
      <c r="K13" s="30" t="s">
        <v>296</v>
      </c>
      <c r="L13" s="91"/>
      <c r="M13" s="94"/>
      <c r="N13" s="90"/>
      <c r="O13" s="90"/>
      <c r="P13" s="90"/>
      <c r="Q13" s="90"/>
      <c r="R13" s="90"/>
      <c r="S13" s="90"/>
      <c r="T13" s="90"/>
      <c r="U13" s="90"/>
      <c r="V13" s="90"/>
      <c r="W13" s="90"/>
      <c r="X13" s="90"/>
      <c r="Y13" s="90"/>
      <c r="Z13" s="90"/>
      <c r="AA13" s="90"/>
      <c r="AB13" s="90"/>
      <c r="AC13" s="90"/>
    </row>
    <row r="14" ht="51.75" customHeight="1">
      <c r="A14" s="26"/>
      <c r="B14" s="18">
        <v>12.0</v>
      </c>
      <c r="C14" s="30" t="s">
        <v>297</v>
      </c>
      <c r="D14" s="30" t="s">
        <v>298</v>
      </c>
      <c r="E14" s="30" t="s">
        <v>299</v>
      </c>
      <c r="F14" s="91" t="s">
        <v>293</v>
      </c>
      <c r="G14" s="91" t="s">
        <v>294</v>
      </c>
      <c r="H14" s="30" t="s">
        <v>300</v>
      </c>
      <c r="I14" s="91" t="s">
        <v>11</v>
      </c>
      <c r="J14" s="30" t="str">
        <f t="array" ref="J14">IFERROR(INDEX('Echelle de maturité'!$B$2:$B$7, MATCH(I14, 'Echelle de maturité'!$C$2:$C$7, 0)), "")</f>
        <v>Une cartographie précise de ses risques cyber pour l'organisation, un plan d'action cyber approfondi et des moyens humains et budgétaires dédiés.</v>
      </c>
      <c r="K14" s="30" t="s">
        <v>252</v>
      </c>
      <c r="L14" s="91"/>
      <c r="M14" s="94"/>
      <c r="N14" s="90"/>
      <c r="O14" s="90"/>
      <c r="P14" s="90"/>
      <c r="Q14" s="90"/>
      <c r="R14" s="90"/>
      <c r="S14" s="90"/>
      <c r="T14" s="90"/>
      <c r="U14" s="90"/>
      <c r="V14" s="90"/>
      <c r="W14" s="90"/>
      <c r="X14" s="90"/>
      <c r="Y14" s="90"/>
      <c r="Z14" s="90"/>
      <c r="AA14" s="90"/>
      <c r="AB14" s="90"/>
      <c r="AC14" s="90"/>
    </row>
    <row r="15" ht="52.5" customHeight="1">
      <c r="A15" s="27"/>
      <c r="B15" s="18">
        <v>13.0</v>
      </c>
      <c r="C15" s="30" t="s">
        <v>301</v>
      </c>
      <c r="D15" s="30" t="s">
        <v>302</v>
      </c>
      <c r="E15" s="30" t="s">
        <v>303</v>
      </c>
      <c r="F15" s="91" t="s">
        <v>304</v>
      </c>
      <c r="G15" s="91" t="s">
        <v>305</v>
      </c>
      <c r="H15" s="30" t="s">
        <v>306</v>
      </c>
      <c r="I15" s="91" t="s">
        <v>7</v>
      </c>
      <c r="J15" s="30" t="str">
        <f t="array" ref="J15">IFERROR(INDEX('Echelle de maturité'!$B$2:$B$7, MATCH(I15, 'Echelle de maturité'!$C$2:$C$7, 0)), "")</f>
        <v>Une prise de conscience de l'existence de risques cyber pour l'organisation et une volonté de mettre en place des premières mesures cyber pertinentes.</v>
      </c>
      <c r="K15" s="30" t="s">
        <v>307</v>
      </c>
      <c r="L15" s="91"/>
      <c r="M15" s="94"/>
      <c r="N15" s="90"/>
      <c r="O15" s="90"/>
      <c r="P15" s="90"/>
      <c r="Q15" s="90"/>
      <c r="R15" s="90"/>
      <c r="S15" s="90"/>
      <c r="T15" s="90"/>
      <c r="U15" s="90"/>
      <c r="V15" s="90"/>
      <c r="W15" s="90"/>
      <c r="X15" s="90"/>
      <c r="Y15" s="90"/>
      <c r="Z15" s="90"/>
      <c r="AA15" s="90"/>
      <c r="AB15" s="90"/>
      <c r="AC15" s="90"/>
    </row>
    <row r="16" ht="51.75" customHeight="1">
      <c r="A16" s="42" t="s">
        <v>308</v>
      </c>
      <c r="B16" s="18">
        <v>14.0</v>
      </c>
      <c r="C16" s="44" t="s">
        <v>309</v>
      </c>
      <c r="D16" s="44" t="s">
        <v>310</v>
      </c>
      <c r="E16" s="44" t="s">
        <v>311</v>
      </c>
      <c r="F16" s="95" t="s">
        <v>260</v>
      </c>
      <c r="G16" s="95" t="s">
        <v>312</v>
      </c>
      <c r="H16" s="44" t="s">
        <v>313</v>
      </c>
      <c r="I16" s="95" t="s">
        <v>7</v>
      </c>
      <c r="J16" s="44" t="str">
        <f t="array" ref="J16">IFERROR(INDEX('Echelle de maturité'!$B$2:$B$7, MATCH(I16, 'Echelle de maturité'!$C$2:$C$7, 0)), "")</f>
        <v>Une prise de conscience de l'existence de risques cyber pour l'organisation et une volonté de mettre en place des premières mesures cyber pertinentes.</v>
      </c>
      <c r="K16" s="44" t="s">
        <v>314</v>
      </c>
      <c r="L16" s="95"/>
      <c r="M16" s="94"/>
      <c r="N16" s="90"/>
      <c r="O16" s="90"/>
      <c r="P16" s="90"/>
      <c r="Q16" s="90"/>
      <c r="R16" s="90"/>
      <c r="S16" s="90"/>
      <c r="T16" s="90"/>
      <c r="U16" s="90"/>
      <c r="V16" s="90"/>
      <c r="W16" s="90"/>
      <c r="X16" s="90"/>
      <c r="Y16" s="90"/>
      <c r="Z16" s="90"/>
      <c r="AA16" s="90"/>
      <c r="AB16" s="90"/>
      <c r="AC16" s="90"/>
    </row>
    <row r="17" ht="51.75" customHeight="1">
      <c r="A17" s="26"/>
      <c r="B17" s="18">
        <v>15.0</v>
      </c>
      <c r="C17" s="44" t="s">
        <v>315</v>
      </c>
      <c r="D17" s="44" t="s">
        <v>316</v>
      </c>
      <c r="E17" s="44" t="s">
        <v>317</v>
      </c>
      <c r="F17" s="95" t="s">
        <v>260</v>
      </c>
      <c r="G17" s="95" t="s">
        <v>318</v>
      </c>
      <c r="H17" s="44" t="s">
        <v>319</v>
      </c>
      <c r="I17" s="95" t="s">
        <v>7</v>
      </c>
      <c r="J17" s="44" t="str">
        <f t="array" ref="J17">IFERROR(INDEX('Echelle de maturité'!$B$2:$B$7, MATCH(I17, 'Echelle de maturité'!$C$2:$C$7, 0)), "")</f>
        <v>Une prise de conscience de l'existence de risques cyber pour l'organisation et une volonté de mettre en place des premières mesures cyber pertinentes.</v>
      </c>
      <c r="K17" s="44" t="s">
        <v>320</v>
      </c>
      <c r="L17" s="95"/>
      <c r="M17" s="94"/>
      <c r="N17" s="90"/>
      <c r="O17" s="90"/>
      <c r="P17" s="90"/>
      <c r="Q17" s="90"/>
      <c r="R17" s="90"/>
      <c r="S17" s="90"/>
      <c r="T17" s="90"/>
      <c r="U17" s="90"/>
      <c r="V17" s="90"/>
      <c r="W17" s="90"/>
      <c r="X17" s="90"/>
      <c r="Y17" s="90"/>
      <c r="Z17" s="90"/>
      <c r="AA17" s="90"/>
      <c r="AB17" s="90"/>
      <c r="AC17" s="90"/>
    </row>
    <row r="18" ht="51.75" customHeight="1">
      <c r="A18" s="26"/>
      <c r="B18" s="18">
        <v>16.0</v>
      </c>
      <c r="C18" s="96" t="s">
        <v>321</v>
      </c>
      <c r="D18" s="44" t="s">
        <v>322</v>
      </c>
      <c r="E18" s="44" t="s">
        <v>323</v>
      </c>
      <c r="F18" s="95" t="s">
        <v>260</v>
      </c>
      <c r="G18" s="95" t="s">
        <v>324</v>
      </c>
      <c r="H18" s="44" t="s">
        <v>325</v>
      </c>
      <c r="I18" s="95" t="s">
        <v>7</v>
      </c>
      <c r="J18" s="44" t="str">
        <f t="array" ref="J18">IFERROR(INDEX('Echelle de maturité'!$B$2:$B$7, MATCH(I18, 'Echelle de maturité'!$C$2:$C$7, 0)), "")</f>
        <v>Une prise de conscience de l'existence de risques cyber pour l'organisation et une volonté de mettre en place des premières mesures cyber pertinentes.</v>
      </c>
      <c r="K18" s="44" t="s">
        <v>326</v>
      </c>
      <c r="L18" s="95"/>
      <c r="M18" s="94"/>
      <c r="N18" s="90"/>
      <c r="O18" s="90"/>
      <c r="P18" s="90"/>
      <c r="Q18" s="90"/>
      <c r="R18" s="90"/>
      <c r="S18" s="90"/>
      <c r="T18" s="90"/>
      <c r="U18" s="90"/>
      <c r="V18" s="90"/>
      <c r="W18" s="90"/>
      <c r="X18" s="90"/>
      <c r="Y18" s="90"/>
      <c r="Z18" s="90"/>
      <c r="AA18" s="90"/>
      <c r="AB18" s="90"/>
      <c r="AC18" s="90"/>
    </row>
    <row r="19" ht="51.75" customHeight="1">
      <c r="A19" s="26"/>
      <c r="B19" s="18">
        <v>17.0</v>
      </c>
      <c r="C19" s="96" t="s">
        <v>327</v>
      </c>
      <c r="D19" s="44" t="s">
        <v>328</v>
      </c>
      <c r="E19" s="44" t="s">
        <v>329</v>
      </c>
      <c r="F19" s="95" t="s">
        <v>330</v>
      </c>
      <c r="G19" s="95" t="s">
        <v>305</v>
      </c>
      <c r="H19" s="44"/>
      <c r="I19" s="95" t="s">
        <v>9</v>
      </c>
      <c r="J19" s="44" t="str">
        <f t="array" ref="J19">IFERROR(INDEX('Echelle de maturité'!$B$2:$B$7, MATCH(I19, 'Echelle de maturité'!$C$2:$C$7, 0)), "")</f>
        <v>Une conscience partagée des risques cyber pour l'organisation et la volonté de formaliser un plan d'action cyber complet tout en ajustant les moyens en conséquence.</v>
      </c>
      <c r="K19" s="44" t="s">
        <v>252</v>
      </c>
      <c r="L19" s="95"/>
      <c r="M19" s="94"/>
      <c r="N19" s="90"/>
      <c r="O19" s="90"/>
      <c r="P19" s="90"/>
      <c r="Q19" s="90"/>
      <c r="R19" s="90"/>
      <c r="S19" s="90"/>
      <c r="T19" s="90"/>
      <c r="U19" s="90"/>
      <c r="V19" s="90"/>
      <c r="W19" s="90"/>
      <c r="X19" s="90"/>
      <c r="Y19" s="90"/>
      <c r="Z19" s="90"/>
      <c r="AA19" s="90"/>
      <c r="AB19" s="90"/>
      <c r="AC19" s="90"/>
    </row>
    <row r="20" ht="51.0" customHeight="1">
      <c r="A20" s="27"/>
      <c r="B20" s="18">
        <v>18.0</v>
      </c>
      <c r="C20" s="96" t="s">
        <v>331</v>
      </c>
      <c r="D20" s="44" t="s">
        <v>332</v>
      </c>
      <c r="E20" s="44" t="s">
        <v>333</v>
      </c>
      <c r="F20" s="95" t="s">
        <v>260</v>
      </c>
      <c r="G20" s="95" t="s">
        <v>334</v>
      </c>
      <c r="H20" s="44" t="s">
        <v>335</v>
      </c>
      <c r="I20" s="95" t="s">
        <v>9</v>
      </c>
      <c r="J20" s="44" t="str">
        <f t="array" ref="J20">IFERROR(INDEX('Echelle de maturité'!$B$2:$B$7, MATCH(I20, 'Echelle de maturité'!$C$2:$C$7, 0)), "")</f>
        <v>Une conscience partagée des risques cyber pour l'organisation et la volonté de formaliser un plan d'action cyber complet tout en ajustant les moyens en conséquence.</v>
      </c>
      <c r="K20" s="44" t="s">
        <v>252</v>
      </c>
      <c r="L20" s="95"/>
      <c r="M20" s="97"/>
      <c r="N20" s="98"/>
      <c r="O20" s="98"/>
      <c r="P20" s="98"/>
      <c r="Q20" s="98"/>
      <c r="R20" s="98"/>
      <c r="S20" s="98"/>
      <c r="T20" s="98"/>
      <c r="U20" s="98"/>
      <c r="V20" s="98"/>
      <c r="W20" s="98"/>
      <c r="X20" s="98"/>
      <c r="Y20" s="98"/>
      <c r="Z20" s="98"/>
      <c r="AA20" s="98"/>
      <c r="AB20" s="98"/>
      <c r="AC20" s="98"/>
    </row>
    <row r="21" ht="46.5" customHeight="1">
      <c r="A21" s="48" t="s">
        <v>336</v>
      </c>
      <c r="B21" s="18">
        <v>19.0</v>
      </c>
      <c r="C21" s="50" t="s">
        <v>337</v>
      </c>
      <c r="D21" s="50" t="s">
        <v>338</v>
      </c>
      <c r="E21" s="50" t="s">
        <v>339</v>
      </c>
      <c r="F21" s="99" t="s">
        <v>340</v>
      </c>
      <c r="G21" s="99" t="s">
        <v>334</v>
      </c>
      <c r="H21" s="50" t="s">
        <v>341</v>
      </c>
      <c r="I21" s="99" t="s">
        <v>11</v>
      </c>
      <c r="J21" s="50" t="str">
        <f t="array" ref="J21">IFERROR(INDEX('Echelle de maturité'!$B$2:$B$7, MATCH(I21, 'Echelle de maturité'!$C$2:$C$7, 0)), "")</f>
        <v>Une cartographie précise de ses risques cyber pour l'organisation, un plan d'action cyber approfondi et des moyens humains et budgétaires dédiés.</v>
      </c>
      <c r="K21" s="50" t="s">
        <v>252</v>
      </c>
      <c r="L21" s="99"/>
      <c r="M21" s="97"/>
      <c r="N21" s="98"/>
      <c r="O21" s="98"/>
      <c r="P21" s="98"/>
      <c r="Q21" s="98"/>
      <c r="R21" s="98"/>
      <c r="S21" s="98"/>
      <c r="T21" s="98"/>
      <c r="U21" s="98"/>
      <c r="V21" s="98"/>
      <c r="W21" s="98"/>
      <c r="X21" s="98"/>
      <c r="Y21" s="98"/>
      <c r="Z21" s="98"/>
      <c r="AA21" s="98"/>
      <c r="AB21" s="98"/>
      <c r="AC21" s="98"/>
    </row>
    <row r="22" ht="60.0" customHeight="1">
      <c r="A22" s="26"/>
      <c r="B22" s="18">
        <v>20.0</v>
      </c>
      <c r="C22" s="50" t="s">
        <v>342</v>
      </c>
      <c r="D22" s="50" t="s">
        <v>343</v>
      </c>
      <c r="E22" s="50" t="s">
        <v>344</v>
      </c>
      <c r="F22" s="99" t="s">
        <v>345</v>
      </c>
      <c r="G22" s="99" t="s">
        <v>334</v>
      </c>
      <c r="H22" s="50" t="s">
        <v>346</v>
      </c>
      <c r="I22" s="99" t="s">
        <v>11</v>
      </c>
      <c r="J22" s="50" t="str">
        <f t="array" ref="J22">IFERROR(INDEX('Echelle de maturité'!$B$2:$B$7, MATCH(I22, 'Echelle de maturité'!$C$2:$C$7, 0)), "")</f>
        <v>Une cartographie précise de ses risques cyber pour l'organisation, un plan d'action cyber approfondi et des moyens humains et budgétaires dédiés.</v>
      </c>
      <c r="K22" s="50" t="s">
        <v>252</v>
      </c>
      <c r="L22" s="99"/>
      <c r="M22" s="97"/>
      <c r="N22" s="98"/>
      <c r="O22" s="98"/>
      <c r="P22" s="98"/>
      <c r="Q22" s="98"/>
      <c r="R22" s="98"/>
      <c r="S22" s="98"/>
      <c r="T22" s="98"/>
      <c r="U22" s="98"/>
      <c r="V22" s="98"/>
      <c r="W22" s="98"/>
      <c r="X22" s="98"/>
      <c r="Y22" s="98"/>
      <c r="Z22" s="98"/>
      <c r="AA22" s="98"/>
      <c r="AB22" s="98"/>
      <c r="AC22" s="98"/>
    </row>
    <row r="23" ht="54.0" customHeight="1">
      <c r="A23" s="27"/>
      <c r="B23" s="18">
        <v>21.0</v>
      </c>
      <c r="C23" s="50" t="s">
        <v>347</v>
      </c>
      <c r="D23" s="50" t="s">
        <v>348</v>
      </c>
      <c r="E23" s="50" t="s">
        <v>349</v>
      </c>
      <c r="F23" s="99" t="s">
        <v>293</v>
      </c>
      <c r="G23" s="99" t="s">
        <v>350</v>
      </c>
      <c r="H23" s="50" t="s">
        <v>351</v>
      </c>
      <c r="I23" s="99" t="s">
        <v>7</v>
      </c>
      <c r="J23" s="50" t="str">
        <f t="array" ref="J23">IFERROR(INDEX('Echelle de maturité'!$B$2:$B$7, MATCH(I23, 'Echelle de maturité'!$C$2:$C$7, 0)), "")</f>
        <v>Une prise de conscience de l'existence de risques cyber pour l'organisation et une volonté de mettre en place des premières mesures cyber pertinentes.</v>
      </c>
      <c r="K23" s="50" t="s">
        <v>352</v>
      </c>
      <c r="L23" s="99"/>
      <c r="M23" s="97"/>
      <c r="N23" s="98"/>
      <c r="O23" s="98"/>
      <c r="P23" s="98"/>
      <c r="Q23" s="98"/>
      <c r="R23" s="98"/>
      <c r="S23" s="98"/>
      <c r="T23" s="98"/>
      <c r="U23" s="98"/>
      <c r="V23" s="98"/>
      <c r="W23" s="98"/>
      <c r="X23" s="98"/>
      <c r="Y23" s="98"/>
      <c r="Z23" s="98"/>
      <c r="AA23" s="98"/>
      <c r="AB23" s="98"/>
      <c r="AC23" s="98"/>
    </row>
    <row r="24" ht="49.5" customHeight="1">
      <c r="A24" s="54" t="s">
        <v>353</v>
      </c>
      <c r="B24" s="18">
        <v>22.0</v>
      </c>
      <c r="C24" s="56" t="s">
        <v>354</v>
      </c>
      <c r="D24" s="56" t="s">
        <v>355</v>
      </c>
      <c r="E24" s="56" t="s">
        <v>356</v>
      </c>
      <c r="F24" s="100" t="s">
        <v>240</v>
      </c>
      <c r="G24" s="100" t="s">
        <v>261</v>
      </c>
      <c r="H24" s="56" t="s">
        <v>357</v>
      </c>
      <c r="I24" s="100" t="s">
        <v>11</v>
      </c>
      <c r="J24" s="56" t="str">
        <f t="array" ref="J24">IFERROR(INDEX('Echelle de maturité'!$B$2:$B$7, MATCH(I24, 'Echelle de maturité'!$C$2:$C$7, 0)), "")</f>
        <v>Une cartographie précise de ses risques cyber pour l'organisation, un plan d'action cyber approfondi et des moyens humains et budgétaires dédiés.</v>
      </c>
      <c r="K24" s="56" t="s">
        <v>252</v>
      </c>
      <c r="L24" s="100"/>
      <c r="M24" s="97"/>
      <c r="N24" s="98"/>
      <c r="O24" s="98"/>
      <c r="P24" s="98"/>
      <c r="Q24" s="98"/>
      <c r="R24" s="98"/>
      <c r="S24" s="98"/>
      <c r="T24" s="98"/>
      <c r="U24" s="98"/>
      <c r="V24" s="98"/>
      <c r="W24" s="98"/>
      <c r="X24" s="98"/>
      <c r="Y24" s="98"/>
      <c r="Z24" s="98"/>
      <c r="AA24" s="98"/>
      <c r="AB24" s="98"/>
      <c r="AC24" s="98"/>
    </row>
    <row r="25" ht="51.75" customHeight="1">
      <c r="A25" s="26"/>
      <c r="B25" s="18">
        <v>23.0</v>
      </c>
      <c r="C25" s="56" t="s">
        <v>358</v>
      </c>
      <c r="D25" s="56" t="s">
        <v>359</v>
      </c>
      <c r="E25" s="56" t="s">
        <v>360</v>
      </c>
      <c r="F25" s="100" t="s">
        <v>240</v>
      </c>
      <c r="G25" s="100" t="s">
        <v>271</v>
      </c>
      <c r="H25" s="56" t="s">
        <v>361</v>
      </c>
      <c r="I25" s="100" t="s">
        <v>11</v>
      </c>
      <c r="J25" s="56" t="str">
        <f t="array" ref="J25">IFERROR(INDEX('Echelle de maturité'!$B$2:$B$7, MATCH(I25, 'Echelle de maturité'!$C$2:$C$7, 0)), "")</f>
        <v>Une cartographie précise de ses risques cyber pour l'organisation, un plan d'action cyber approfondi et des moyens humains et budgétaires dédiés.</v>
      </c>
      <c r="K25" s="56" t="s">
        <v>252</v>
      </c>
      <c r="L25" s="100"/>
      <c r="M25" s="97"/>
      <c r="N25" s="98"/>
      <c r="O25" s="98"/>
      <c r="P25" s="98"/>
      <c r="Q25" s="98"/>
      <c r="R25" s="98"/>
      <c r="S25" s="98"/>
      <c r="T25" s="98"/>
      <c r="U25" s="98"/>
      <c r="V25" s="98"/>
      <c r="W25" s="98"/>
      <c r="X25" s="98"/>
      <c r="Y25" s="98"/>
      <c r="Z25" s="98"/>
      <c r="AA25" s="98"/>
      <c r="AB25" s="98"/>
      <c r="AC25" s="98"/>
    </row>
    <row r="26" ht="60.0" customHeight="1">
      <c r="A26" s="26"/>
      <c r="B26" s="18">
        <v>24.0</v>
      </c>
      <c r="C26" s="56" t="s">
        <v>362</v>
      </c>
      <c r="D26" s="56" t="s">
        <v>363</v>
      </c>
      <c r="E26" s="56" t="s">
        <v>364</v>
      </c>
      <c r="F26" s="100" t="s">
        <v>240</v>
      </c>
      <c r="G26" s="100" t="s">
        <v>334</v>
      </c>
      <c r="H26" s="56" t="s">
        <v>365</v>
      </c>
      <c r="I26" s="100" t="s">
        <v>11</v>
      </c>
      <c r="J26" s="56" t="str">
        <f t="array" ref="J26">IFERROR(INDEX('Echelle de maturité'!$B$2:$B$7, MATCH(I26, 'Echelle de maturité'!$C$2:$C$7, 0)), "")</f>
        <v>Une cartographie précise de ses risques cyber pour l'organisation, un plan d'action cyber approfondi et des moyens humains et budgétaires dédiés.</v>
      </c>
      <c r="K26" s="56" t="s">
        <v>252</v>
      </c>
      <c r="L26" s="100"/>
      <c r="M26" s="97"/>
      <c r="N26" s="98"/>
      <c r="O26" s="98"/>
      <c r="P26" s="98"/>
      <c r="Q26" s="98"/>
      <c r="R26" s="98"/>
      <c r="S26" s="98"/>
      <c r="T26" s="98"/>
      <c r="U26" s="98"/>
      <c r="V26" s="98"/>
      <c r="W26" s="98"/>
      <c r="X26" s="98"/>
      <c r="Y26" s="98"/>
      <c r="Z26" s="98"/>
      <c r="AA26" s="98"/>
      <c r="AB26" s="98"/>
      <c r="AC26" s="98"/>
    </row>
    <row r="27" ht="66.0" customHeight="1">
      <c r="A27" s="26"/>
      <c r="B27" s="18">
        <v>25.0</v>
      </c>
      <c r="C27" s="56" t="s">
        <v>366</v>
      </c>
      <c r="D27" s="56" t="s">
        <v>367</v>
      </c>
      <c r="E27" s="56" t="s">
        <v>368</v>
      </c>
      <c r="F27" s="100" t="s">
        <v>240</v>
      </c>
      <c r="G27" s="100" t="s">
        <v>241</v>
      </c>
      <c r="H27" s="56" t="s">
        <v>369</v>
      </c>
      <c r="I27" s="100" t="s">
        <v>13</v>
      </c>
      <c r="J27" s="56" t="str">
        <f t="array" ref="J27">IFERROR(INDEX('Echelle de maturité'!$B$2:$B$7, MATCH(I27, 'Echelle de maturité'!$C$2:$C$7, 0)), "")</f>
        <v>Des objectifs de réduction des risques cyber intégrés à la stratégie de l'organisation. Des moyens humains, budgétaires conséquents, un plan d'action cyber exhaustif, adapté aux menaces stratégiques.</v>
      </c>
      <c r="K27" s="56" t="s">
        <v>252</v>
      </c>
      <c r="L27" s="100"/>
      <c r="M27" s="97"/>
      <c r="N27" s="98"/>
      <c r="O27" s="98"/>
      <c r="P27" s="98"/>
      <c r="Q27" s="98"/>
      <c r="R27" s="98"/>
      <c r="S27" s="98"/>
      <c r="T27" s="98"/>
      <c r="U27" s="98"/>
      <c r="V27" s="98"/>
      <c r="W27" s="98"/>
      <c r="X27" s="98"/>
      <c r="Y27" s="98"/>
      <c r="Z27" s="98"/>
      <c r="AA27" s="98"/>
      <c r="AB27" s="98"/>
      <c r="AC27" s="98"/>
    </row>
    <row r="28" ht="54.75" customHeight="1">
      <c r="A28" s="26"/>
      <c r="B28" s="18">
        <v>26.0</v>
      </c>
      <c r="C28" s="56" t="s">
        <v>370</v>
      </c>
      <c r="D28" s="56" t="s">
        <v>371</v>
      </c>
      <c r="E28" s="56" t="s">
        <v>372</v>
      </c>
      <c r="F28" s="100" t="s">
        <v>240</v>
      </c>
      <c r="G28" s="100" t="s">
        <v>373</v>
      </c>
      <c r="H28" s="56" t="s">
        <v>374</v>
      </c>
      <c r="I28" s="100" t="s">
        <v>13</v>
      </c>
      <c r="J28" s="56" t="str">
        <f t="array" ref="J28">IFERROR(INDEX('Echelle de maturité'!$B$2:$B$7, MATCH(I28, 'Echelle de maturité'!$C$2:$C$7, 0)), "")</f>
        <v>Des objectifs de réduction des risques cyber intégrés à la stratégie de l'organisation. Des moyens humains, budgétaires conséquents, un plan d'action cyber exhaustif, adapté aux menaces stratégiques.</v>
      </c>
      <c r="K28" s="56" t="s">
        <v>252</v>
      </c>
      <c r="L28" s="100"/>
      <c r="M28" s="97"/>
      <c r="N28" s="98"/>
      <c r="O28" s="98"/>
      <c r="P28" s="98"/>
      <c r="Q28" s="98"/>
      <c r="R28" s="98"/>
      <c r="S28" s="98"/>
      <c r="T28" s="98"/>
      <c r="U28" s="98"/>
      <c r="V28" s="98"/>
      <c r="W28" s="98"/>
      <c r="X28" s="98"/>
      <c r="Y28" s="98"/>
      <c r="Z28" s="98"/>
      <c r="AA28" s="98"/>
      <c r="AB28" s="98"/>
      <c r="AC28" s="98"/>
    </row>
    <row r="29" ht="48.0" customHeight="1">
      <c r="A29" s="27"/>
      <c r="B29" s="18">
        <v>27.0</v>
      </c>
      <c r="C29" s="56" t="s">
        <v>375</v>
      </c>
      <c r="D29" s="56" t="s">
        <v>376</v>
      </c>
      <c r="E29" s="56" t="s">
        <v>377</v>
      </c>
      <c r="F29" s="100" t="s">
        <v>240</v>
      </c>
      <c r="G29" s="100" t="s">
        <v>305</v>
      </c>
      <c r="H29" s="56" t="s">
        <v>378</v>
      </c>
      <c r="I29" s="100" t="s">
        <v>13</v>
      </c>
      <c r="J29" s="56" t="str">
        <f t="array" ref="J29">IFERROR(INDEX('Echelle de maturité'!$B$2:$B$7, MATCH(I29, 'Echelle de maturité'!$C$2:$C$7, 0)), "")</f>
        <v>Des objectifs de réduction des risques cyber intégrés à la stratégie de l'organisation. Des moyens humains, budgétaires conséquents, un plan d'action cyber exhaustif, adapté aux menaces stratégiques.</v>
      </c>
      <c r="K29" s="56" t="s">
        <v>252</v>
      </c>
      <c r="L29" s="100"/>
      <c r="M29" s="97"/>
      <c r="N29" s="98"/>
      <c r="O29" s="98"/>
      <c r="P29" s="98"/>
      <c r="Q29" s="98"/>
      <c r="R29" s="98"/>
      <c r="S29" s="98"/>
      <c r="T29" s="98"/>
      <c r="U29" s="98"/>
      <c r="V29" s="98"/>
      <c r="W29" s="98"/>
      <c r="X29" s="98"/>
      <c r="Y29" s="98"/>
      <c r="Z29" s="98"/>
      <c r="AA29" s="98"/>
      <c r="AB29" s="98"/>
      <c r="AC29" s="98"/>
    </row>
    <row r="30" ht="47.25" customHeight="1">
      <c r="A30" s="101" t="s">
        <v>379</v>
      </c>
      <c r="B30" s="18">
        <v>28.0</v>
      </c>
      <c r="C30" s="62" t="s">
        <v>380</v>
      </c>
      <c r="D30" s="62" t="s">
        <v>381</v>
      </c>
      <c r="E30" s="62" t="s">
        <v>382</v>
      </c>
      <c r="F30" s="102" t="s">
        <v>330</v>
      </c>
      <c r="G30" s="102" t="s">
        <v>383</v>
      </c>
      <c r="H30" s="62" t="s">
        <v>384</v>
      </c>
      <c r="I30" s="102" t="s">
        <v>13</v>
      </c>
      <c r="J30" s="62" t="str">
        <f t="array" ref="J30">IFERROR(INDEX('Echelle de maturité'!$B$2:$B$7, MATCH(I30, 'Echelle de maturité'!$C$2:$C$7, 0)), "")</f>
        <v>Des objectifs de réduction des risques cyber intégrés à la stratégie de l'organisation. Des moyens humains, budgétaires conséquents, un plan d'action cyber exhaustif, adapté aux menaces stratégiques.</v>
      </c>
      <c r="K30" s="62" t="s">
        <v>252</v>
      </c>
      <c r="L30" s="102"/>
      <c r="M30" s="94"/>
      <c r="N30" s="90"/>
      <c r="O30" s="90"/>
      <c r="P30" s="90"/>
      <c r="Q30" s="90"/>
      <c r="R30" s="90"/>
      <c r="S30" s="90"/>
      <c r="T30" s="90"/>
      <c r="U30" s="90"/>
      <c r="V30" s="90"/>
      <c r="W30" s="90"/>
      <c r="X30" s="90"/>
      <c r="Y30" s="90"/>
      <c r="Z30" s="90"/>
      <c r="AA30" s="90"/>
      <c r="AB30" s="90"/>
      <c r="AC30" s="90"/>
    </row>
    <row r="31" ht="51.0" customHeight="1">
      <c r="A31" s="103" t="s">
        <v>385</v>
      </c>
      <c r="B31" s="104">
        <v>29.0</v>
      </c>
      <c r="C31" s="105" t="s">
        <v>386</v>
      </c>
      <c r="D31" s="105" t="s">
        <v>387</v>
      </c>
      <c r="E31" s="68" t="s">
        <v>388</v>
      </c>
      <c r="F31" s="106" t="s">
        <v>260</v>
      </c>
      <c r="G31" s="106" t="s">
        <v>350</v>
      </c>
      <c r="H31" s="105" t="s">
        <v>389</v>
      </c>
      <c r="I31" s="107" t="s">
        <v>13</v>
      </c>
      <c r="J31" s="108" t="str">
        <f t="array" ref="J31">IFERROR(INDEX('Echelle de maturité'!$B$2:$B$7, MATCH(I31, 'Echelle de maturité'!$C$2:$C$7, 0)), "")</f>
        <v>Des objectifs de réduction des risques cyber intégrés à la stratégie de l'organisation. Des moyens humains, budgétaires conséquents, un plan d'action cyber exhaustif, adapté aux menaces stratégiques.</v>
      </c>
      <c r="K31" s="108" t="s">
        <v>252</v>
      </c>
      <c r="L31" s="109"/>
      <c r="M31" s="94"/>
      <c r="N31" s="90"/>
      <c r="O31" s="90"/>
      <c r="P31" s="90"/>
      <c r="Q31" s="90"/>
      <c r="R31" s="90"/>
      <c r="S31" s="90"/>
      <c r="T31" s="90"/>
      <c r="U31" s="90"/>
      <c r="V31" s="90"/>
      <c r="W31" s="90"/>
      <c r="X31" s="90"/>
      <c r="Y31" s="90"/>
      <c r="Z31" s="90"/>
      <c r="AA31" s="90"/>
      <c r="AB31" s="90"/>
      <c r="AC31" s="90"/>
    </row>
    <row r="32" ht="63.75" customHeight="1">
      <c r="A32" s="26"/>
      <c r="B32" s="104">
        <v>30.0</v>
      </c>
      <c r="C32" s="105" t="s">
        <v>390</v>
      </c>
      <c r="D32" s="105" t="s">
        <v>391</v>
      </c>
      <c r="E32" s="68" t="s">
        <v>392</v>
      </c>
      <c r="F32" s="106" t="s">
        <v>293</v>
      </c>
      <c r="G32" s="106" t="s">
        <v>350</v>
      </c>
      <c r="H32" s="105" t="s">
        <v>393</v>
      </c>
      <c r="I32" s="107" t="s">
        <v>13</v>
      </c>
      <c r="J32" s="108" t="str">
        <f t="array" ref="J32">IFERROR(INDEX('Echelle de maturité'!$B$2:$B$7, MATCH(I32, 'Echelle de maturité'!$C$2:$C$7, 0)), "")</f>
        <v>Des objectifs de réduction des risques cyber intégrés à la stratégie de l'organisation. Des moyens humains, budgétaires conséquents, un plan d'action cyber exhaustif, adapté aux menaces stratégiques.</v>
      </c>
      <c r="K32" s="68" t="s">
        <v>252</v>
      </c>
      <c r="L32" s="109"/>
      <c r="M32" s="94"/>
      <c r="N32" s="90"/>
      <c r="O32" s="90"/>
      <c r="P32" s="90"/>
      <c r="Q32" s="90"/>
      <c r="R32" s="90"/>
      <c r="S32" s="90"/>
      <c r="T32" s="90"/>
      <c r="U32" s="90"/>
      <c r="V32" s="90"/>
      <c r="W32" s="90"/>
      <c r="X32" s="90"/>
      <c r="Y32" s="90"/>
      <c r="Z32" s="90"/>
      <c r="AA32" s="90"/>
      <c r="AB32" s="90"/>
      <c r="AC32" s="90"/>
    </row>
    <row r="33" ht="51.0" customHeight="1">
      <c r="A33" s="26"/>
      <c r="B33" s="104">
        <v>31.0</v>
      </c>
      <c r="C33" s="105" t="s">
        <v>394</v>
      </c>
      <c r="D33" s="105" t="s">
        <v>395</v>
      </c>
      <c r="E33" s="68" t="s">
        <v>396</v>
      </c>
      <c r="F33" s="106" t="s">
        <v>397</v>
      </c>
      <c r="G33" s="106" t="s">
        <v>398</v>
      </c>
      <c r="H33" s="105" t="s">
        <v>399</v>
      </c>
      <c r="I33" s="107" t="s">
        <v>9</v>
      </c>
      <c r="J33" s="108" t="str">
        <f t="array" ref="J33">IFERROR(INDEX('Echelle de maturité'!$B$2:$B$7, MATCH(I33, 'Echelle de maturité'!$C$2:$C$7, 0)), "")</f>
        <v>Une conscience partagée des risques cyber pour l'organisation et la volonté de formaliser un plan d'action cyber complet tout en ajustant les moyens en conséquence.</v>
      </c>
      <c r="K33" s="108" t="s">
        <v>252</v>
      </c>
      <c r="L33" s="109"/>
      <c r="M33" s="94"/>
      <c r="N33" s="90"/>
      <c r="O33" s="90"/>
      <c r="P33" s="90"/>
      <c r="Q33" s="90"/>
      <c r="R33" s="90"/>
      <c r="S33" s="90"/>
      <c r="T33" s="90"/>
      <c r="U33" s="90"/>
      <c r="V33" s="90"/>
      <c r="W33" s="90"/>
      <c r="X33" s="90"/>
      <c r="Y33" s="90"/>
      <c r="Z33" s="90"/>
      <c r="AA33" s="90"/>
      <c r="AB33" s="90"/>
      <c r="AC33" s="90"/>
    </row>
    <row r="34" ht="61.5" customHeight="1">
      <c r="A34" s="27"/>
      <c r="B34" s="110">
        <v>32.0</v>
      </c>
      <c r="C34" s="111" t="s">
        <v>400</v>
      </c>
      <c r="D34" s="111" t="s">
        <v>401</v>
      </c>
      <c r="E34" s="112" t="s">
        <v>402</v>
      </c>
      <c r="F34" s="113" t="s">
        <v>403</v>
      </c>
      <c r="G34" s="113" t="s">
        <v>404</v>
      </c>
      <c r="H34" s="111" t="s">
        <v>405</v>
      </c>
      <c r="I34" s="107" t="s">
        <v>16</v>
      </c>
      <c r="J34" s="114" t="str">
        <f t="array" ref="J34">IFERROR(INDEX('Echelle de maturité'!$B$2:$B$7, MATCH(I34, 'Echelle de maturité'!$C$2:$C$7, 0)), "")</f>
        <v>Le critère ou l'exigence évalué n'est pas pertinent au regard des activités, du périmètre technique ou du cadre réglementaire de l'organisation.</v>
      </c>
      <c r="K34" s="114" t="s">
        <v>252</v>
      </c>
      <c r="L34" s="115"/>
      <c r="M34" s="97"/>
      <c r="N34" s="98"/>
      <c r="O34" s="98"/>
      <c r="P34" s="98"/>
      <c r="Q34" s="98"/>
      <c r="R34" s="98"/>
      <c r="S34" s="98"/>
      <c r="T34" s="98"/>
      <c r="U34" s="98"/>
      <c r="V34" s="98"/>
      <c r="W34" s="98"/>
      <c r="X34" s="98"/>
      <c r="Y34" s="98"/>
      <c r="Z34" s="98"/>
      <c r="AA34" s="98"/>
      <c r="AB34" s="98"/>
      <c r="AC34" s="98"/>
    </row>
    <row r="35" ht="77.25" customHeight="1">
      <c r="A35" s="116" t="s">
        <v>406</v>
      </c>
      <c r="B35" s="117"/>
      <c r="C35" s="117"/>
      <c r="D35" s="117"/>
      <c r="E35" s="118"/>
      <c r="F35" s="117"/>
      <c r="G35" s="117"/>
      <c r="H35" s="117"/>
      <c r="I35" s="119" t="str">
        <f>(COUNTIF(I3:I34,"1 - Insuffisant")*1
+COUNTIF(I3:I34,"2 - Émergent")*2
+COUNTIF(I3:I34,"3 - Intermédiaire")*3
+COUNTIF(I3:I34,"4 - Confirmé")*4
+COUNTIF(I3:I34,"5 - Optimal")*5)
&amp; "/"
&amp; (ROWS(I3:I34)*5)</f>
        <v>114/160</v>
      </c>
      <c r="J35" s="120" t="str">
        <f>ROUND((LEFT(I35,SEARCH("/",I35)-1)/RIGHT(I35,LEN(I35)-SEARCH("/",I35)))*5,2)&amp;" / 5"</f>
        <v>3,56 / 5</v>
      </c>
      <c r="K35" s="117"/>
      <c r="L35" s="117"/>
      <c r="M35" s="97"/>
      <c r="N35" s="98"/>
      <c r="O35" s="98"/>
      <c r="P35" s="98"/>
      <c r="Q35" s="98"/>
      <c r="R35" s="98"/>
      <c r="S35" s="98"/>
      <c r="T35" s="98"/>
      <c r="U35" s="98"/>
      <c r="V35" s="98"/>
      <c r="W35" s="98"/>
      <c r="X35" s="98"/>
      <c r="Y35" s="98"/>
      <c r="Z35" s="98"/>
      <c r="AA35" s="98"/>
      <c r="AB35" s="98"/>
      <c r="AC35" s="98"/>
    </row>
    <row r="36">
      <c r="M36" s="98"/>
      <c r="N36" s="98"/>
      <c r="O36" s="98"/>
      <c r="P36" s="98"/>
      <c r="Q36" s="98"/>
      <c r="R36" s="98"/>
      <c r="S36" s="98"/>
      <c r="T36" s="98"/>
      <c r="U36" s="98"/>
      <c r="V36" s="98"/>
      <c r="W36" s="98"/>
      <c r="X36" s="98"/>
      <c r="Y36" s="98"/>
      <c r="Z36" s="98"/>
      <c r="AA36" s="98"/>
      <c r="AB36" s="98"/>
      <c r="AC36" s="98"/>
    </row>
    <row r="37">
      <c r="M37" s="98"/>
      <c r="N37" s="98"/>
      <c r="O37" s="98"/>
      <c r="P37" s="98"/>
      <c r="Q37" s="98"/>
      <c r="R37" s="98"/>
      <c r="S37" s="98"/>
      <c r="T37" s="98"/>
      <c r="U37" s="98"/>
      <c r="V37" s="98"/>
      <c r="W37" s="98"/>
      <c r="X37" s="98"/>
      <c r="Y37" s="98"/>
      <c r="Z37" s="98"/>
      <c r="AA37" s="98"/>
      <c r="AB37" s="98"/>
      <c r="AC37" s="98"/>
    </row>
    <row r="38">
      <c r="M38" s="98"/>
      <c r="N38" s="98"/>
      <c r="O38" s="98"/>
      <c r="P38" s="98"/>
      <c r="Q38" s="98"/>
      <c r="R38" s="98"/>
      <c r="S38" s="98"/>
      <c r="T38" s="98"/>
      <c r="U38" s="98"/>
      <c r="V38" s="98"/>
      <c r="W38" s="98"/>
      <c r="X38" s="98"/>
      <c r="Y38" s="98"/>
      <c r="Z38" s="98"/>
      <c r="AA38" s="98"/>
      <c r="AB38" s="98"/>
      <c r="AC38" s="98"/>
    </row>
    <row r="39">
      <c r="M39" s="98"/>
      <c r="N39" s="98"/>
      <c r="O39" s="98"/>
      <c r="P39" s="98"/>
      <c r="Q39" s="98"/>
      <c r="R39" s="98"/>
      <c r="S39" s="98"/>
      <c r="T39" s="98"/>
      <c r="U39" s="98"/>
      <c r="V39" s="98"/>
      <c r="W39" s="98"/>
      <c r="X39" s="98"/>
      <c r="Y39" s="98"/>
      <c r="Z39" s="98"/>
      <c r="AA39" s="98"/>
      <c r="AB39" s="98"/>
      <c r="AC39" s="98"/>
    </row>
    <row r="40">
      <c r="M40" s="98"/>
      <c r="N40" s="98"/>
      <c r="O40" s="98"/>
      <c r="P40" s="98"/>
      <c r="Q40" s="98"/>
      <c r="R40" s="98"/>
      <c r="S40" s="98"/>
      <c r="T40" s="98"/>
      <c r="U40" s="98"/>
      <c r="V40" s="98"/>
      <c r="W40" s="98"/>
      <c r="X40" s="98"/>
      <c r="Y40" s="98"/>
      <c r="Z40" s="98"/>
      <c r="AA40" s="98"/>
      <c r="AB40" s="98"/>
      <c r="AC40" s="98"/>
    </row>
    <row r="41">
      <c r="M41" s="98"/>
      <c r="N41" s="98"/>
      <c r="O41" s="98"/>
      <c r="P41" s="98"/>
      <c r="Q41" s="98"/>
      <c r="R41" s="98"/>
      <c r="S41" s="98"/>
      <c r="T41" s="98"/>
      <c r="U41" s="98"/>
      <c r="V41" s="98"/>
      <c r="W41" s="98"/>
      <c r="X41" s="98"/>
      <c r="Y41" s="98"/>
      <c r="Z41" s="98"/>
      <c r="AA41" s="98"/>
      <c r="AB41" s="98"/>
      <c r="AC41" s="98"/>
    </row>
    <row r="42">
      <c r="M42" s="98"/>
      <c r="N42" s="98"/>
      <c r="O42" s="98"/>
      <c r="P42" s="98"/>
      <c r="Q42" s="98"/>
      <c r="R42" s="98"/>
      <c r="S42" s="98"/>
      <c r="T42" s="98"/>
      <c r="U42" s="98"/>
      <c r="V42" s="98"/>
      <c r="W42" s="98"/>
      <c r="X42" s="98"/>
      <c r="Y42" s="98"/>
      <c r="Z42" s="98"/>
      <c r="AA42" s="98"/>
      <c r="AB42" s="98"/>
      <c r="AC42" s="98"/>
    </row>
    <row r="43">
      <c r="M43" s="98"/>
      <c r="N43" s="98"/>
      <c r="O43" s="98"/>
      <c r="P43" s="98"/>
      <c r="Q43" s="98"/>
      <c r="R43" s="98"/>
      <c r="S43" s="98"/>
      <c r="T43" s="98"/>
      <c r="U43" s="98"/>
      <c r="V43" s="98"/>
      <c r="W43" s="98"/>
      <c r="X43" s="98"/>
      <c r="Y43" s="98"/>
      <c r="Z43" s="98"/>
      <c r="AA43" s="98"/>
      <c r="AB43" s="98"/>
      <c r="AC43" s="98"/>
    </row>
    <row r="44">
      <c r="M44" s="98"/>
      <c r="N44" s="98"/>
      <c r="O44" s="98"/>
      <c r="P44" s="98"/>
      <c r="Q44" s="98"/>
      <c r="R44" s="98"/>
      <c r="S44" s="98"/>
      <c r="T44" s="98"/>
      <c r="U44" s="98"/>
      <c r="V44" s="98"/>
      <c r="W44" s="98"/>
      <c r="X44" s="98"/>
      <c r="Y44" s="98"/>
      <c r="Z44" s="98"/>
      <c r="AA44" s="98"/>
      <c r="AB44" s="98"/>
      <c r="AC44" s="98"/>
    </row>
    <row r="45">
      <c r="M45" s="98"/>
      <c r="N45" s="98"/>
      <c r="O45" s="98"/>
      <c r="P45" s="98"/>
      <c r="Q45" s="98"/>
      <c r="R45" s="98"/>
      <c r="S45" s="98"/>
      <c r="T45" s="98"/>
      <c r="U45" s="98"/>
      <c r="V45" s="98"/>
      <c r="W45" s="98"/>
      <c r="X45" s="98"/>
      <c r="Y45" s="98"/>
      <c r="Z45" s="98"/>
      <c r="AA45" s="98"/>
      <c r="AB45" s="98"/>
      <c r="AC45" s="98"/>
    </row>
    <row r="46">
      <c r="M46" s="98"/>
      <c r="N46" s="98"/>
      <c r="O46" s="98"/>
      <c r="P46" s="98"/>
      <c r="Q46" s="98"/>
      <c r="R46" s="98"/>
      <c r="S46" s="98"/>
      <c r="T46" s="98"/>
      <c r="U46" s="98"/>
      <c r="V46" s="98"/>
      <c r="W46" s="98"/>
      <c r="X46" s="98"/>
      <c r="Y46" s="98"/>
      <c r="Z46" s="98"/>
      <c r="AA46" s="98"/>
      <c r="AB46" s="98"/>
      <c r="AC46" s="98"/>
    </row>
    <row r="47">
      <c r="M47" s="98"/>
      <c r="N47" s="98"/>
      <c r="O47" s="98"/>
      <c r="P47" s="98"/>
      <c r="Q47" s="98"/>
      <c r="R47" s="98"/>
      <c r="S47" s="98"/>
      <c r="T47" s="98"/>
      <c r="U47" s="98"/>
      <c r="V47" s="98"/>
      <c r="W47" s="98"/>
      <c r="X47" s="98"/>
      <c r="Y47" s="98"/>
      <c r="Z47" s="98"/>
      <c r="AA47" s="98"/>
      <c r="AB47" s="98"/>
      <c r="AC47" s="98"/>
    </row>
    <row r="48">
      <c r="M48" s="98"/>
      <c r="N48" s="98"/>
      <c r="O48" s="98"/>
      <c r="P48" s="98"/>
      <c r="Q48" s="98"/>
      <c r="R48" s="98"/>
      <c r="S48" s="98"/>
      <c r="T48" s="98"/>
      <c r="U48" s="98"/>
      <c r="V48" s="98"/>
      <c r="W48" s="98"/>
      <c r="X48" s="98"/>
      <c r="Y48" s="98"/>
      <c r="Z48" s="98"/>
      <c r="AA48" s="98"/>
      <c r="AB48" s="98"/>
      <c r="AC48" s="98"/>
    </row>
    <row r="49">
      <c r="M49" s="98"/>
      <c r="N49" s="98"/>
      <c r="O49" s="98"/>
      <c r="P49" s="98"/>
      <c r="Q49" s="98"/>
      <c r="R49" s="98"/>
      <c r="S49" s="98"/>
      <c r="T49" s="98"/>
      <c r="U49" s="98"/>
      <c r="V49" s="98"/>
      <c r="W49" s="98"/>
      <c r="X49" s="98"/>
      <c r="Y49" s="98"/>
      <c r="Z49" s="98"/>
      <c r="AA49" s="98"/>
      <c r="AB49" s="98"/>
      <c r="AC49" s="98"/>
    </row>
    <row r="50">
      <c r="M50" s="98"/>
      <c r="N50" s="98"/>
      <c r="O50" s="98"/>
      <c r="P50" s="98"/>
      <c r="Q50" s="98"/>
      <c r="R50" s="98"/>
      <c r="S50" s="98"/>
      <c r="T50" s="98"/>
      <c r="U50" s="98"/>
      <c r="V50" s="98"/>
      <c r="W50" s="98"/>
      <c r="X50" s="98"/>
      <c r="Y50" s="98"/>
      <c r="Z50" s="98"/>
      <c r="AA50" s="98"/>
      <c r="AB50" s="98"/>
      <c r="AC50" s="98"/>
    </row>
    <row r="51">
      <c r="M51" s="98"/>
      <c r="N51" s="98"/>
      <c r="O51" s="98"/>
      <c r="P51" s="98"/>
      <c r="Q51" s="98"/>
      <c r="R51" s="98"/>
      <c r="S51" s="98"/>
      <c r="T51" s="98"/>
      <c r="U51" s="98"/>
      <c r="V51" s="98"/>
      <c r="W51" s="98"/>
      <c r="X51" s="98"/>
      <c r="Y51" s="98"/>
      <c r="Z51" s="98"/>
      <c r="AA51" s="98"/>
      <c r="AB51" s="98"/>
      <c r="AC51" s="98"/>
    </row>
    <row r="52">
      <c r="M52" s="98"/>
      <c r="N52" s="98"/>
      <c r="O52" s="98"/>
      <c r="P52" s="98"/>
      <c r="Q52" s="98"/>
      <c r="R52" s="98"/>
      <c r="S52" s="98"/>
      <c r="T52" s="98"/>
      <c r="U52" s="98"/>
      <c r="V52" s="98"/>
      <c r="W52" s="98"/>
      <c r="X52" s="98"/>
      <c r="Y52" s="98"/>
      <c r="Z52" s="98"/>
      <c r="AA52" s="98"/>
      <c r="AB52" s="98"/>
      <c r="AC52" s="98"/>
    </row>
    <row r="53">
      <c r="M53" s="98"/>
      <c r="N53" s="98"/>
      <c r="O53" s="98"/>
      <c r="P53" s="98"/>
      <c r="Q53" s="98"/>
      <c r="R53" s="98"/>
      <c r="S53" s="98"/>
      <c r="T53" s="98"/>
      <c r="U53" s="98"/>
      <c r="V53" s="98"/>
      <c r="W53" s="98"/>
      <c r="X53" s="98"/>
      <c r="Y53" s="98"/>
      <c r="Z53" s="98"/>
      <c r="AA53" s="98"/>
      <c r="AB53" s="98"/>
      <c r="AC53" s="98"/>
    </row>
    <row r="54">
      <c r="M54" s="98"/>
      <c r="N54" s="98"/>
      <c r="O54" s="98"/>
      <c r="P54" s="98"/>
      <c r="Q54" s="98"/>
      <c r="R54" s="98"/>
      <c r="S54" s="98"/>
      <c r="T54" s="98"/>
      <c r="U54" s="98"/>
      <c r="V54" s="98"/>
      <c r="W54" s="98"/>
      <c r="X54" s="98"/>
      <c r="Y54" s="98"/>
      <c r="Z54" s="98"/>
      <c r="AA54" s="98"/>
      <c r="AB54" s="98"/>
      <c r="AC54" s="98"/>
    </row>
    <row r="55">
      <c r="M55" s="98"/>
      <c r="N55" s="98"/>
      <c r="O55" s="98"/>
      <c r="P55" s="98"/>
      <c r="Q55" s="98"/>
      <c r="R55" s="98"/>
      <c r="S55" s="98"/>
      <c r="T55" s="98"/>
      <c r="U55" s="98"/>
      <c r="V55" s="98"/>
      <c r="W55" s="98"/>
      <c r="X55" s="98"/>
      <c r="Y55" s="98"/>
      <c r="Z55" s="98"/>
      <c r="AA55" s="98"/>
      <c r="AB55" s="98"/>
      <c r="AC55" s="98"/>
    </row>
    <row r="56">
      <c r="M56" s="98"/>
      <c r="N56" s="98"/>
      <c r="O56" s="98"/>
      <c r="P56" s="98"/>
      <c r="Q56" s="98"/>
      <c r="R56" s="98"/>
      <c r="S56" s="98"/>
      <c r="T56" s="98"/>
      <c r="U56" s="98"/>
      <c r="V56" s="98"/>
      <c r="W56" s="98"/>
      <c r="X56" s="98"/>
      <c r="Y56" s="98"/>
      <c r="Z56" s="98"/>
      <c r="AA56" s="98"/>
      <c r="AB56" s="98"/>
      <c r="AC56" s="98"/>
    </row>
    <row r="57">
      <c r="M57" s="98"/>
      <c r="N57" s="98"/>
      <c r="O57" s="98"/>
      <c r="P57" s="98"/>
      <c r="Q57" s="98"/>
      <c r="R57" s="98"/>
      <c r="S57" s="98"/>
      <c r="T57" s="98"/>
      <c r="U57" s="98"/>
      <c r="V57" s="98"/>
      <c r="W57" s="98"/>
      <c r="X57" s="98"/>
      <c r="Y57" s="98"/>
      <c r="Z57" s="98"/>
      <c r="AA57" s="98"/>
      <c r="AB57" s="98"/>
      <c r="AC57" s="98"/>
    </row>
    <row r="58">
      <c r="M58" s="98"/>
      <c r="N58" s="98"/>
      <c r="O58" s="98"/>
      <c r="P58" s="98"/>
      <c r="Q58" s="98"/>
      <c r="R58" s="98"/>
      <c r="S58" s="98"/>
      <c r="T58" s="98"/>
      <c r="U58" s="98"/>
      <c r="V58" s="98"/>
      <c r="W58" s="98"/>
      <c r="X58" s="98"/>
      <c r="Y58" s="98"/>
      <c r="Z58" s="98"/>
      <c r="AA58" s="98"/>
      <c r="AB58" s="98"/>
      <c r="AC58" s="98"/>
    </row>
    <row r="59">
      <c r="M59" s="98"/>
      <c r="N59" s="98"/>
      <c r="O59" s="98"/>
      <c r="P59" s="98"/>
      <c r="Q59" s="98"/>
      <c r="R59" s="98"/>
      <c r="S59" s="98"/>
      <c r="T59" s="98"/>
      <c r="U59" s="98"/>
      <c r="V59" s="98"/>
      <c r="W59" s="98"/>
      <c r="X59" s="98"/>
      <c r="Y59" s="98"/>
      <c r="Z59" s="98"/>
      <c r="AA59" s="98"/>
      <c r="AB59" s="98"/>
      <c r="AC59" s="98"/>
    </row>
    <row r="60">
      <c r="M60" s="98"/>
      <c r="N60" s="98"/>
      <c r="O60" s="98"/>
      <c r="P60" s="98"/>
      <c r="Q60" s="98"/>
      <c r="R60" s="98"/>
      <c r="S60" s="98"/>
      <c r="T60" s="98"/>
      <c r="U60" s="98"/>
      <c r="V60" s="98"/>
      <c r="W60" s="98"/>
      <c r="X60" s="98"/>
      <c r="Y60" s="98"/>
      <c r="Z60" s="98"/>
      <c r="AA60" s="98"/>
      <c r="AB60" s="98"/>
      <c r="AC60" s="98"/>
    </row>
    <row r="61">
      <c r="M61" s="98"/>
      <c r="N61" s="98"/>
      <c r="O61" s="98"/>
      <c r="P61" s="98"/>
      <c r="Q61" s="98"/>
      <c r="R61" s="98"/>
      <c r="S61" s="98"/>
      <c r="T61" s="98"/>
      <c r="U61" s="98"/>
      <c r="V61" s="98"/>
      <c r="W61" s="98"/>
      <c r="X61" s="98"/>
      <c r="Y61" s="98"/>
      <c r="Z61" s="98"/>
      <c r="AA61" s="98"/>
      <c r="AB61" s="98"/>
      <c r="AC61" s="98"/>
    </row>
    <row r="62">
      <c r="M62" s="98"/>
      <c r="N62" s="98"/>
      <c r="O62" s="98"/>
      <c r="P62" s="98"/>
      <c r="Q62" s="98"/>
      <c r="R62" s="98"/>
      <c r="S62" s="98"/>
      <c r="T62" s="98"/>
      <c r="U62" s="98"/>
      <c r="V62" s="98"/>
      <c r="W62" s="98"/>
      <c r="X62" s="98"/>
      <c r="Y62" s="98"/>
      <c r="Z62" s="98"/>
      <c r="AA62" s="98"/>
      <c r="AB62" s="98"/>
      <c r="AC62" s="98"/>
    </row>
    <row r="63">
      <c r="M63" s="98"/>
      <c r="N63" s="98"/>
      <c r="O63" s="98"/>
      <c r="P63" s="98"/>
      <c r="Q63" s="98"/>
      <c r="R63" s="98"/>
      <c r="S63" s="98"/>
      <c r="T63" s="98"/>
      <c r="U63" s="98"/>
      <c r="V63" s="98"/>
      <c r="W63" s="98"/>
      <c r="X63" s="98"/>
      <c r="Y63" s="98"/>
      <c r="Z63" s="98"/>
      <c r="AA63" s="98"/>
      <c r="AB63" s="98"/>
      <c r="AC63" s="98"/>
    </row>
    <row r="64">
      <c r="M64" s="98"/>
      <c r="N64" s="98"/>
      <c r="O64" s="98"/>
      <c r="P64" s="98"/>
      <c r="Q64" s="98"/>
      <c r="R64" s="98"/>
      <c r="S64" s="98"/>
      <c r="T64" s="98"/>
      <c r="U64" s="98"/>
      <c r="V64" s="98"/>
      <c r="W64" s="98"/>
      <c r="X64" s="98"/>
      <c r="Y64" s="98"/>
      <c r="Z64" s="98"/>
      <c r="AA64" s="98"/>
      <c r="AB64" s="98"/>
      <c r="AC64" s="98"/>
    </row>
    <row r="65">
      <c r="M65" s="98"/>
      <c r="N65" s="98"/>
      <c r="O65" s="98"/>
      <c r="P65" s="98"/>
      <c r="Q65" s="98"/>
      <c r="R65" s="98"/>
      <c r="S65" s="98"/>
      <c r="T65" s="98"/>
      <c r="U65" s="98"/>
      <c r="V65" s="98"/>
      <c r="W65" s="98"/>
      <c r="X65" s="98"/>
      <c r="Y65" s="98"/>
      <c r="Z65" s="98"/>
      <c r="AA65" s="98"/>
      <c r="AB65" s="98"/>
      <c r="AC65" s="98"/>
    </row>
    <row r="66">
      <c r="M66" s="98"/>
      <c r="N66" s="98"/>
      <c r="O66" s="98"/>
      <c r="P66" s="98"/>
      <c r="Q66" s="98"/>
      <c r="R66" s="98"/>
      <c r="S66" s="98"/>
      <c r="T66" s="98"/>
      <c r="U66" s="98"/>
      <c r="V66" s="98"/>
      <c r="W66" s="98"/>
      <c r="X66" s="98"/>
      <c r="Y66" s="98"/>
      <c r="Z66" s="98"/>
      <c r="AA66" s="98"/>
      <c r="AB66" s="98"/>
      <c r="AC66" s="98"/>
    </row>
    <row r="67">
      <c r="M67" s="98"/>
      <c r="N67" s="98"/>
      <c r="O67" s="98"/>
      <c r="P67" s="98"/>
      <c r="Q67" s="98"/>
      <c r="R67" s="98"/>
      <c r="S67" s="98"/>
      <c r="T67" s="98"/>
      <c r="U67" s="98"/>
      <c r="V67" s="98"/>
      <c r="W67" s="98"/>
      <c r="X67" s="98"/>
      <c r="Y67" s="98"/>
      <c r="Z67" s="98"/>
      <c r="AA67" s="98"/>
      <c r="AB67" s="98"/>
      <c r="AC67" s="98"/>
    </row>
    <row r="68">
      <c r="M68" s="98"/>
      <c r="N68" s="98"/>
      <c r="O68" s="98"/>
      <c r="P68" s="98"/>
      <c r="Q68" s="98"/>
      <c r="R68" s="98"/>
      <c r="S68" s="98"/>
      <c r="T68" s="98"/>
      <c r="U68" s="98"/>
      <c r="V68" s="98"/>
      <c r="W68" s="98"/>
      <c r="X68" s="98"/>
      <c r="Y68" s="98"/>
      <c r="Z68" s="98"/>
      <c r="AA68" s="98"/>
      <c r="AB68" s="98"/>
      <c r="AC68" s="98"/>
    </row>
    <row r="69">
      <c r="A69" s="98"/>
      <c r="B69" s="98"/>
      <c r="C69" s="98"/>
      <c r="D69" s="98"/>
      <c r="E69" s="121"/>
      <c r="F69" s="98"/>
      <c r="G69" s="98"/>
      <c r="H69" s="98"/>
      <c r="I69" s="98"/>
      <c r="J69" s="98"/>
      <c r="K69" s="98"/>
      <c r="L69" s="98"/>
      <c r="M69" s="98"/>
      <c r="N69" s="98"/>
      <c r="O69" s="98"/>
      <c r="P69" s="98"/>
      <c r="Q69" s="98"/>
      <c r="R69" s="98"/>
      <c r="S69" s="98"/>
      <c r="T69" s="98"/>
      <c r="U69" s="98"/>
      <c r="V69" s="98"/>
      <c r="W69" s="98"/>
      <c r="X69" s="98"/>
      <c r="Y69" s="98"/>
      <c r="Z69" s="98"/>
      <c r="AA69" s="98"/>
      <c r="AB69" s="98"/>
      <c r="AC69" s="98"/>
    </row>
    <row r="70">
      <c r="A70" s="98"/>
      <c r="B70" s="98"/>
      <c r="C70" s="98"/>
      <c r="D70" s="98"/>
      <c r="E70" s="121"/>
      <c r="F70" s="98"/>
      <c r="G70" s="98"/>
      <c r="H70" s="98"/>
      <c r="I70" s="98"/>
      <c r="J70" s="98"/>
      <c r="K70" s="98"/>
      <c r="L70" s="98"/>
      <c r="M70" s="98"/>
      <c r="N70" s="98"/>
      <c r="O70" s="98"/>
      <c r="P70" s="98"/>
      <c r="Q70" s="98"/>
      <c r="R70" s="98"/>
      <c r="S70" s="98"/>
      <c r="T70" s="98"/>
      <c r="U70" s="98"/>
      <c r="V70" s="98"/>
      <c r="W70" s="98"/>
      <c r="X70" s="98"/>
      <c r="Y70" s="98"/>
      <c r="Z70" s="98"/>
      <c r="AA70" s="98"/>
      <c r="AB70" s="98"/>
      <c r="AC70" s="98"/>
    </row>
    <row r="71">
      <c r="A71" s="98"/>
      <c r="B71" s="98"/>
      <c r="C71" s="98"/>
      <c r="D71" s="98"/>
      <c r="E71" s="121"/>
      <c r="F71" s="98"/>
      <c r="G71" s="98"/>
      <c r="H71" s="98"/>
      <c r="I71" s="98"/>
      <c r="J71" s="98"/>
      <c r="K71" s="98"/>
      <c r="L71" s="98"/>
      <c r="M71" s="98"/>
      <c r="N71" s="98"/>
      <c r="O71" s="98"/>
      <c r="P71" s="98"/>
      <c r="Q71" s="98"/>
      <c r="R71" s="98"/>
      <c r="S71" s="98"/>
      <c r="T71" s="98"/>
      <c r="U71" s="98"/>
      <c r="V71" s="98"/>
      <c r="W71" s="98"/>
      <c r="X71" s="98"/>
      <c r="Y71" s="98"/>
      <c r="Z71" s="98"/>
      <c r="AA71" s="98"/>
      <c r="AB71" s="98"/>
      <c r="AC71" s="98"/>
    </row>
    <row r="72">
      <c r="A72" s="98"/>
      <c r="B72" s="98"/>
      <c r="C72" s="98"/>
      <c r="D72" s="98"/>
      <c r="E72" s="121"/>
      <c r="F72" s="98"/>
      <c r="G72" s="98"/>
      <c r="H72" s="98"/>
      <c r="I72" s="98"/>
      <c r="J72" s="98"/>
      <c r="K72" s="98"/>
      <c r="L72" s="98"/>
      <c r="M72" s="98"/>
      <c r="N72" s="98"/>
      <c r="O72" s="98"/>
      <c r="P72" s="98"/>
      <c r="Q72" s="98"/>
      <c r="R72" s="98"/>
      <c r="S72" s="98"/>
      <c r="T72" s="98"/>
      <c r="U72" s="98"/>
      <c r="V72" s="98"/>
      <c r="W72" s="98"/>
      <c r="X72" s="98"/>
      <c r="Y72" s="98"/>
      <c r="Z72" s="98"/>
      <c r="AA72" s="98"/>
      <c r="AB72" s="98"/>
      <c r="AC72" s="98"/>
    </row>
    <row r="73">
      <c r="A73" s="98"/>
      <c r="B73" s="98"/>
      <c r="C73" s="98"/>
      <c r="D73" s="98"/>
      <c r="E73" s="121"/>
      <c r="F73" s="98"/>
      <c r="G73" s="98"/>
      <c r="H73" s="98"/>
      <c r="I73" s="98"/>
      <c r="J73" s="98"/>
      <c r="K73" s="98"/>
      <c r="L73" s="98"/>
      <c r="M73" s="98"/>
      <c r="N73" s="98"/>
      <c r="O73" s="98"/>
      <c r="P73" s="98"/>
      <c r="Q73" s="98"/>
      <c r="R73" s="98"/>
      <c r="S73" s="98"/>
      <c r="T73" s="98"/>
      <c r="U73" s="98"/>
      <c r="V73" s="98"/>
      <c r="W73" s="98"/>
      <c r="X73" s="98"/>
      <c r="Y73" s="98"/>
      <c r="Z73" s="98"/>
      <c r="AA73" s="98"/>
      <c r="AB73" s="98"/>
      <c r="AC73" s="98"/>
    </row>
    <row r="74">
      <c r="A74" s="98"/>
      <c r="B74" s="98"/>
      <c r="C74" s="98"/>
      <c r="D74" s="98"/>
      <c r="E74" s="121"/>
      <c r="F74" s="98"/>
      <c r="G74" s="98"/>
      <c r="H74" s="98"/>
      <c r="I74" s="98"/>
      <c r="J74" s="98"/>
      <c r="K74" s="98"/>
      <c r="L74" s="98"/>
      <c r="M74" s="98"/>
      <c r="N74" s="98"/>
      <c r="O74" s="98"/>
      <c r="P74" s="98"/>
      <c r="Q74" s="98"/>
      <c r="R74" s="98"/>
      <c r="S74" s="98"/>
      <c r="T74" s="98"/>
      <c r="U74" s="98"/>
      <c r="V74" s="98"/>
      <c r="W74" s="98"/>
      <c r="X74" s="98"/>
      <c r="Y74" s="98"/>
      <c r="Z74" s="98"/>
      <c r="AA74" s="98"/>
      <c r="AB74" s="98"/>
      <c r="AC74" s="98"/>
    </row>
    <row r="75">
      <c r="A75" s="98"/>
      <c r="B75" s="98"/>
      <c r="C75" s="98"/>
      <c r="D75" s="98"/>
      <c r="E75" s="121"/>
      <c r="F75" s="98"/>
      <c r="G75" s="98"/>
      <c r="H75" s="98"/>
      <c r="I75" s="98"/>
      <c r="J75" s="98"/>
      <c r="K75" s="98"/>
      <c r="L75" s="98"/>
      <c r="M75" s="98"/>
      <c r="N75" s="98"/>
      <c r="O75" s="98"/>
      <c r="P75" s="98"/>
      <c r="Q75" s="98"/>
      <c r="R75" s="98"/>
      <c r="S75" s="98"/>
      <c r="T75" s="98"/>
      <c r="U75" s="98"/>
      <c r="V75" s="98"/>
      <c r="W75" s="98"/>
      <c r="X75" s="98"/>
      <c r="Y75" s="98"/>
      <c r="Z75" s="98"/>
      <c r="AA75" s="98"/>
      <c r="AB75" s="98"/>
      <c r="AC75" s="98"/>
    </row>
    <row r="76">
      <c r="A76" s="98"/>
      <c r="B76" s="98"/>
      <c r="C76" s="98"/>
      <c r="D76" s="98"/>
      <c r="E76" s="121"/>
      <c r="F76" s="98"/>
      <c r="G76" s="98"/>
      <c r="H76" s="98"/>
      <c r="I76" s="98"/>
      <c r="J76" s="98"/>
      <c r="K76" s="98"/>
      <c r="L76" s="98"/>
      <c r="M76" s="98"/>
      <c r="N76" s="98"/>
      <c r="O76" s="98"/>
      <c r="P76" s="98"/>
      <c r="Q76" s="98"/>
      <c r="R76" s="98"/>
      <c r="S76" s="98"/>
      <c r="T76" s="98"/>
      <c r="U76" s="98"/>
      <c r="V76" s="98"/>
      <c r="W76" s="98"/>
      <c r="X76" s="98"/>
      <c r="Y76" s="98"/>
      <c r="Z76" s="98"/>
      <c r="AA76" s="98"/>
      <c r="AB76" s="98"/>
      <c r="AC76" s="98"/>
    </row>
    <row r="77">
      <c r="A77" s="98"/>
      <c r="B77" s="98"/>
      <c r="C77" s="98"/>
      <c r="D77" s="98"/>
      <c r="E77" s="121"/>
      <c r="F77" s="98"/>
      <c r="G77" s="98"/>
      <c r="H77" s="98"/>
      <c r="I77" s="98"/>
      <c r="J77" s="98"/>
      <c r="K77" s="98"/>
      <c r="L77" s="98"/>
      <c r="M77" s="98"/>
      <c r="N77" s="98"/>
      <c r="O77" s="98"/>
      <c r="P77" s="98"/>
      <c r="Q77" s="98"/>
      <c r="R77" s="98"/>
      <c r="S77" s="98"/>
      <c r="T77" s="98"/>
      <c r="U77" s="98"/>
      <c r="V77" s="98"/>
      <c r="W77" s="98"/>
      <c r="X77" s="98"/>
      <c r="Y77" s="98"/>
      <c r="Z77" s="98"/>
      <c r="AA77" s="98"/>
      <c r="AB77" s="98"/>
      <c r="AC77" s="98"/>
    </row>
    <row r="78">
      <c r="A78" s="98"/>
      <c r="B78" s="98"/>
      <c r="C78" s="98"/>
      <c r="D78" s="98"/>
      <c r="E78" s="121"/>
      <c r="F78" s="98"/>
      <c r="G78" s="98"/>
      <c r="H78" s="98"/>
      <c r="I78" s="98"/>
      <c r="J78" s="98"/>
      <c r="K78" s="98"/>
      <c r="L78" s="98"/>
      <c r="M78" s="98"/>
      <c r="N78" s="98"/>
      <c r="O78" s="98"/>
      <c r="P78" s="98"/>
      <c r="Q78" s="98"/>
      <c r="R78" s="98"/>
      <c r="S78" s="98"/>
      <c r="T78" s="98"/>
      <c r="U78" s="98"/>
      <c r="V78" s="98"/>
      <c r="W78" s="98"/>
      <c r="X78" s="98"/>
      <c r="Y78" s="98"/>
      <c r="Z78" s="98"/>
      <c r="AA78" s="98"/>
      <c r="AB78" s="98"/>
      <c r="AC78" s="98"/>
    </row>
    <row r="79">
      <c r="A79" s="98"/>
      <c r="B79" s="98"/>
      <c r="C79" s="98"/>
      <c r="D79" s="98"/>
      <c r="E79" s="121"/>
      <c r="F79" s="98"/>
      <c r="G79" s="98"/>
      <c r="H79" s="98"/>
      <c r="I79" s="98"/>
      <c r="J79" s="98"/>
      <c r="K79" s="98"/>
      <c r="L79" s="98"/>
      <c r="M79" s="98"/>
      <c r="N79" s="98"/>
      <c r="O79" s="98"/>
      <c r="P79" s="98"/>
      <c r="Q79" s="98"/>
      <c r="R79" s="98"/>
      <c r="S79" s="98"/>
      <c r="T79" s="98"/>
      <c r="U79" s="98"/>
      <c r="V79" s="98"/>
      <c r="W79" s="98"/>
      <c r="X79" s="98"/>
      <c r="Y79" s="98"/>
      <c r="Z79" s="98"/>
      <c r="AA79" s="98"/>
      <c r="AB79" s="98"/>
      <c r="AC79" s="98"/>
    </row>
    <row r="80">
      <c r="A80" s="98"/>
      <c r="B80" s="98"/>
      <c r="C80" s="98"/>
      <c r="D80" s="98"/>
      <c r="E80" s="121"/>
      <c r="F80" s="98"/>
      <c r="G80" s="98"/>
      <c r="H80" s="98"/>
      <c r="I80" s="98"/>
      <c r="J80" s="98"/>
      <c r="K80" s="98"/>
      <c r="L80" s="98"/>
      <c r="M80" s="98"/>
      <c r="N80" s="98"/>
      <c r="O80" s="98"/>
      <c r="P80" s="98"/>
      <c r="Q80" s="98"/>
      <c r="R80" s="98"/>
      <c r="S80" s="98"/>
      <c r="T80" s="98"/>
      <c r="U80" s="98"/>
      <c r="V80" s="98"/>
      <c r="W80" s="98"/>
      <c r="X80" s="98"/>
      <c r="Y80" s="98"/>
      <c r="Z80" s="98"/>
      <c r="AA80" s="98"/>
      <c r="AB80" s="98"/>
      <c r="AC80" s="98"/>
    </row>
    <row r="81">
      <c r="A81" s="98"/>
      <c r="B81" s="98"/>
      <c r="C81" s="98"/>
      <c r="D81" s="98"/>
      <c r="E81" s="121"/>
      <c r="F81" s="98"/>
      <c r="G81" s="98"/>
      <c r="H81" s="98"/>
      <c r="I81" s="98"/>
      <c r="J81" s="98"/>
      <c r="K81" s="98"/>
      <c r="L81" s="98"/>
      <c r="M81" s="98"/>
      <c r="N81" s="98"/>
      <c r="O81" s="98"/>
      <c r="P81" s="98"/>
      <c r="Q81" s="98"/>
      <c r="R81" s="98"/>
      <c r="S81" s="98"/>
      <c r="T81" s="98"/>
      <c r="U81" s="98"/>
      <c r="V81" s="98"/>
      <c r="W81" s="98"/>
      <c r="X81" s="98"/>
      <c r="Y81" s="98"/>
      <c r="Z81" s="98"/>
      <c r="AA81" s="98"/>
      <c r="AB81" s="98"/>
      <c r="AC81" s="98"/>
    </row>
    <row r="82">
      <c r="A82" s="98"/>
      <c r="B82" s="98"/>
      <c r="C82" s="98"/>
      <c r="D82" s="98"/>
      <c r="E82" s="121"/>
      <c r="F82" s="98"/>
      <c r="G82" s="98"/>
      <c r="H82" s="98"/>
      <c r="I82" s="98"/>
      <c r="J82" s="98"/>
      <c r="K82" s="98"/>
      <c r="L82" s="98"/>
      <c r="M82" s="98"/>
      <c r="N82" s="98"/>
      <c r="O82" s="98"/>
      <c r="P82" s="98"/>
      <c r="Q82" s="98"/>
      <c r="R82" s="98"/>
      <c r="S82" s="98"/>
      <c r="T82" s="98"/>
      <c r="U82" s="98"/>
      <c r="V82" s="98"/>
      <c r="W82" s="98"/>
      <c r="X82" s="98"/>
      <c r="Y82" s="98"/>
      <c r="Z82" s="98"/>
      <c r="AA82" s="98"/>
      <c r="AB82" s="98"/>
      <c r="AC82" s="98"/>
    </row>
    <row r="83">
      <c r="A83" s="98"/>
      <c r="B83" s="98"/>
      <c r="C83" s="98"/>
      <c r="D83" s="98"/>
      <c r="E83" s="121"/>
      <c r="F83" s="98"/>
      <c r="G83" s="98"/>
      <c r="H83" s="98"/>
      <c r="I83" s="98"/>
      <c r="J83" s="98"/>
      <c r="K83" s="98"/>
      <c r="L83" s="98"/>
      <c r="M83" s="98"/>
      <c r="N83" s="98"/>
      <c r="O83" s="98"/>
      <c r="P83" s="98"/>
      <c r="Q83" s="98"/>
      <c r="R83" s="98"/>
      <c r="S83" s="98"/>
      <c r="T83" s="98"/>
      <c r="U83" s="98"/>
      <c r="V83" s="98"/>
      <c r="W83" s="98"/>
      <c r="X83" s="98"/>
      <c r="Y83" s="98"/>
      <c r="Z83" s="98"/>
      <c r="AA83" s="98"/>
      <c r="AB83" s="98"/>
      <c r="AC83" s="98"/>
    </row>
    <row r="84">
      <c r="A84" s="98"/>
      <c r="B84" s="98"/>
      <c r="C84" s="98"/>
      <c r="D84" s="98"/>
      <c r="E84" s="121"/>
      <c r="F84" s="98"/>
      <c r="G84" s="98"/>
      <c r="H84" s="98"/>
      <c r="I84" s="98"/>
      <c r="J84" s="98"/>
      <c r="K84" s="98"/>
      <c r="L84" s="98"/>
      <c r="M84" s="98"/>
      <c r="N84" s="98"/>
      <c r="O84" s="98"/>
      <c r="P84" s="98"/>
      <c r="Q84" s="98"/>
      <c r="R84" s="98"/>
      <c r="S84" s="98"/>
      <c r="T84" s="98"/>
      <c r="U84" s="98"/>
      <c r="V84" s="98"/>
      <c r="W84" s="98"/>
      <c r="X84" s="98"/>
      <c r="Y84" s="98"/>
      <c r="Z84" s="98"/>
      <c r="AA84" s="98"/>
      <c r="AB84" s="98"/>
      <c r="AC84" s="98"/>
    </row>
    <row r="85">
      <c r="A85" s="98"/>
      <c r="B85" s="98"/>
      <c r="C85" s="98"/>
      <c r="D85" s="98"/>
      <c r="E85" s="121"/>
      <c r="F85" s="98"/>
      <c r="G85" s="98"/>
      <c r="H85" s="98"/>
      <c r="I85" s="98"/>
      <c r="J85" s="98"/>
      <c r="K85" s="98"/>
      <c r="L85" s="98"/>
      <c r="M85" s="98"/>
      <c r="N85" s="98"/>
      <c r="O85" s="98"/>
      <c r="P85" s="98"/>
      <c r="Q85" s="98"/>
      <c r="R85" s="98"/>
      <c r="S85" s="98"/>
      <c r="T85" s="98"/>
      <c r="U85" s="98"/>
      <c r="V85" s="98"/>
      <c r="W85" s="98"/>
      <c r="X85" s="98"/>
      <c r="Y85" s="98"/>
      <c r="Z85" s="98"/>
      <c r="AA85" s="98"/>
      <c r="AB85" s="98"/>
      <c r="AC85" s="98"/>
    </row>
    <row r="86">
      <c r="A86" s="98"/>
      <c r="B86" s="98"/>
      <c r="C86" s="98"/>
      <c r="D86" s="98"/>
      <c r="E86" s="121"/>
      <c r="F86" s="98"/>
      <c r="G86" s="98"/>
      <c r="H86" s="98"/>
      <c r="I86" s="98"/>
      <c r="J86" s="98"/>
      <c r="K86" s="98"/>
      <c r="L86" s="98"/>
      <c r="M86" s="98"/>
      <c r="N86" s="98"/>
      <c r="O86" s="98"/>
      <c r="P86" s="98"/>
      <c r="Q86" s="98"/>
      <c r="R86" s="98"/>
      <c r="S86" s="98"/>
      <c r="T86" s="98"/>
      <c r="U86" s="98"/>
      <c r="V86" s="98"/>
      <c r="W86" s="98"/>
      <c r="X86" s="98"/>
      <c r="Y86" s="98"/>
      <c r="Z86" s="98"/>
      <c r="AA86" s="98"/>
      <c r="AB86" s="98"/>
      <c r="AC86" s="98"/>
    </row>
    <row r="87">
      <c r="A87" s="98"/>
      <c r="B87" s="98"/>
      <c r="C87" s="98"/>
      <c r="D87" s="98"/>
      <c r="E87" s="121"/>
      <c r="F87" s="98"/>
      <c r="G87" s="98"/>
      <c r="H87" s="98"/>
      <c r="I87" s="98"/>
      <c r="J87" s="98"/>
      <c r="K87" s="98"/>
      <c r="L87" s="98"/>
      <c r="M87" s="98"/>
      <c r="N87" s="98"/>
      <c r="O87" s="98"/>
      <c r="P87" s="98"/>
      <c r="Q87" s="98"/>
      <c r="R87" s="98"/>
      <c r="S87" s="98"/>
      <c r="T87" s="98"/>
      <c r="U87" s="98"/>
      <c r="V87" s="98"/>
      <c r="W87" s="98"/>
      <c r="X87" s="98"/>
      <c r="Y87" s="98"/>
      <c r="Z87" s="98"/>
      <c r="AA87" s="98"/>
      <c r="AB87" s="98"/>
      <c r="AC87" s="98"/>
    </row>
    <row r="88">
      <c r="A88" s="98"/>
      <c r="B88" s="98"/>
      <c r="C88" s="98"/>
      <c r="D88" s="98"/>
      <c r="E88" s="121"/>
      <c r="F88" s="98"/>
      <c r="G88" s="98"/>
      <c r="H88" s="98"/>
      <c r="I88" s="98"/>
      <c r="J88" s="98"/>
      <c r="K88" s="98"/>
      <c r="L88" s="98"/>
      <c r="M88" s="98"/>
      <c r="N88" s="98"/>
      <c r="O88" s="98"/>
      <c r="P88" s="98"/>
      <c r="Q88" s="98"/>
      <c r="R88" s="98"/>
      <c r="S88" s="98"/>
      <c r="T88" s="98"/>
      <c r="U88" s="98"/>
      <c r="V88" s="98"/>
      <c r="W88" s="98"/>
      <c r="X88" s="98"/>
      <c r="Y88" s="98"/>
      <c r="Z88" s="98"/>
      <c r="AA88" s="98"/>
      <c r="AB88" s="98"/>
      <c r="AC88" s="98"/>
    </row>
    <row r="89">
      <c r="A89" s="98"/>
      <c r="B89" s="98"/>
      <c r="C89" s="98"/>
      <c r="D89" s="98"/>
      <c r="E89" s="121"/>
      <c r="F89" s="98"/>
      <c r="G89" s="98"/>
      <c r="H89" s="98"/>
      <c r="I89" s="98"/>
      <c r="J89" s="98"/>
      <c r="K89" s="98"/>
      <c r="L89" s="98"/>
      <c r="M89" s="98"/>
      <c r="N89" s="98"/>
      <c r="O89" s="98"/>
      <c r="P89" s="98"/>
      <c r="Q89" s="98"/>
      <c r="R89" s="98"/>
      <c r="S89" s="98"/>
      <c r="T89" s="98"/>
      <c r="U89" s="98"/>
      <c r="V89" s="98"/>
      <c r="W89" s="98"/>
      <c r="X89" s="98"/>
      <c r="Y89" s="98"/>
      <c r="Z89" s="98"/>
      <c r="AA89" s="98"/>
      <c r="AB89" s="98"/>
      <c r="AC89" s="98"/>
    </row>
    <row r="90">
      <c r="A90" s="98"/>
      <c r="B90" s="98"/>
      <c r="C90" s="98"/>
      <c r="D90" s="98"/>
      <c r="E90" s="121"/>
      <c r="F90" s="98"/>
      <c r="G90" s="98"/>
      <c r="H90" s="98"/>
      <c r="I90" s="98"/>
      <c r="J90" s="98"/>
      <c r="K90" s="98"/>
      <c r="L90" s="98"/>
      <c r="M90" s="98"/>
      <c r="N90" s="98"/>
      <c r="O90" s="98"/>
      <c r="P90" s="98"/>
      <c r="Q90" s="98"/>
      <c r="R90" s="98"/>
      <c r="S90" s="98"/>
      <c r="T90" s="98"/>
      <c r="U90" s="98"/>
      <c r="V90" s="98"/>
      <c r="W90" s="98"/>
      <c r="X90" s="98"/>
      <c r="Y90" s="98"/>
      <c r="Z90" s="98"/>
      <c r="AA90" s="98"/>
      <c r="AB90" s="98"/>
      <c r="AC90" s="98"/>
    </row>
    <row r="91">
      <c r="A91" s="98"/>
      <c r="B91" s="98"/>
      <c r="C91" s="98"/>
      <c r="D91" s="98"/>
      <c r="E91" s="121"/>
      <c r="F91" s="98"/>
      <c r="G91" s="98"/>
      <c r="H91" s="98"/>
      <c r="I91" s="98"/>
      <c r="J91" s="98"/>
      <c r="K91" s="98"/>
      <c r="L91" s="98"/>
      <c r="M91" s="98"/>
      <c r="N91" s="98"/>
      <c r="O91" s="98"/>
      <c r="P91" s="98"/>
      <c r="Q91" s="98"/>
      <c r="R91" s="98"/>
      <c r="S91" s="98"/>
      <c r="T91" s="98"/>
      <c r="U91" s="98"/>
      <c r="V91" s="98"/>
      <c r="W91" s="98"/>
      <c r="X91" s="98"/>
      <c r="Y91" s="98"/>
      <c r="Z91" s="98"/>
      <c r="AA91" s="98"/>
      <c r="AB91" s="98"/>
      <c r="AC91" s="98"/>
    </row>
    <row r="92">
      <c r="A92" s="98"/>
      <c r="B92" s="98"/>
      <c r="C92" s="98"/>
      <c r="D92" s="98"/>
      <c r="E92" s="121"/>
      <c r="F92" s="98"/>
      <c r="G92" s="98"/>
      <c r="H92" s="98"/>
      <c r="I92" s="98"/>
      <c r="J92" s="98"/>
      <c r="K92" s="98"/>
      <c r="L92" s="98"/>
      <c r="M92" s="98"/>
      <c r="N92" s="98"/>
      <c r="O92" s="98"/>
      <c r="P92" s="98"/>
      <c r="Q92" s="98"/>
      <c r="R92" s="98"/>
      <c r="S92" s="98"/>
      <c r="T92" s="98"/>
      <c r="U92" s="98"/>
      <c r="V92" s="98"/>
      <c r="W92" s="98"/>
      <c r="X92" s="98"/>
      <c r="Y92" s="98"/>
      <c r="Z92" s="98"/>
      <c r="AA92" s="98"/>
      <c r="AB92" s="98"/>
      <c r="AC92" s="98"/>
    </row>
    <row r="93">
      <c r="A93" s="98"/>
      <c r="B93" s="98"/>
      <c r="C93" s="98"/>
      <c r="D93" s="98"/>
      <c r="E93" s="121"/>
      <c r="F93" s="98"/>
      <c r="G93" s="98"/>
      <c r="H93" s="98"/>
      <c r="I93" s="98"/>
      <c r="J93" s="98"/>
      <c r="K93" s="98"/>
      <c r="L93" s="98"/>
      <c r="M93" s="98"/>
      <c r="N93" s="98"/>
      <c r="O93" s="98"/>
      <c r="P93" s="98"/>
      <c r="Q93" s="98"/>
      <c r="R93" s="98"/>
      <c r="S93" s="98"/>
      <c r="T93" s="98"/>
      <c r="U93" s="98"/>
      <c r="V93" s="98"/>
      <c r="W93" s="98"/>
      <c r="X93" s="98"/>
      <c r="Y93" s="98"/>
      <c r="Z93" s="98"/>
      <c r="AA93" s="98"/>
      <c r="AB93" s="98"/>
      <c r="AC93" s="98"/>
    </row>
    <row r="94">
      <c r="A94" s="98"/>
      <c r="B94" s="98"/>
      <c r="C94" s="98"/>
      <c r="D94" s="98"/>
      <c r="E94" s="121"/>
      <c r="F94" s="98"/>
      <c r="G94" s="98"/>
      <c r="H94" s="98"/>
      <c r="I94" s="98"/>
      <c r="J94" s="98"/>
      <c r="K94" s="98"/>
      <c r="L94" s="98"/>
      <c r="M94" s="98"/>
      <c r="N94" s="98"/>
      <c r="O94" s="98"/>
      <c r="P94" s="98"/>
      <c r="Q94" s="98"/>
      <c r="R94" s="98"/>
      <c r="S94" s="98"/>
      <c r="T94" s="98"/>
      <c r="U94" s="98"/>
      <c r="V94" s="98"/>
      <c r="W94" s="98"/>
      <c r="X94" s="98"/>
      <c r="Y94" s="98"/>
      <c r="Z94" s="98"/>
      <c r="AA94" s="98"/>
      <c r="AB94" s="98"/>
      <c r="AC94" s="98"/>
    </row>
    <row r="95">
      <c r="A95" s="98"/>
      <c r="B95" s="98"/>
      <c r="C95" s="98"/>
      <c r="D95" s="98"/>
      <c r="E95" s="121"/>
      <c r="F95" s="98"/>
      <c r="G95" s="98"/>
      <c r="H95" s="98"/>
      <c r="I95" s="98"/>
      <c r="J95" s="98"/>
      <c r="K95" s="98"/>
      <c r="L95" s="98"/>
      <c r="M95" s="98"/>
      <c r="N95" s="98"/>
      <c r="O95" s="98"/>
      <c r="P95" s="98"/>
      <c r="Q95" s="98"/>
      <c r="R95" s="98"/>
      <c r="S95" s="98"/>
      <c r="T95" s="98"/>
      <c r="U95" s="98"/>
      <c r="V95" s="98"/>
      <c r="W95" s="98"/>
      <c r="X95" s="98"/>
      <c r="Y95" s="98"/>
      <c r="Z95" s="98"/>
      <c r="AA95" s="98"/>
      <c r="AB95" s="98"/>
      <c r="AC95" s="98"/>
    </row>
    <row r="96">
      <c r="A96" s="98"/>
      <c r="B96" s="98"/>
      <c r="C96" s="98"/>
      <c r="D96" s="98"/>
      <c r="E96" s="121"/>
      <c r="F96" s="98"/>
      <c r="G96" s="98"/>
      <c r="H96" s="98"/>
      <c r="I96" s="98"/>
      <c r="J96" s="98"/>
      <c r="K96" s="98"/>
      <c r="L96" s="98"/>
      <c r="M96" s="98"/>
      <c r="N96" s="98"/>
      <c r="O96" s="98"/>
      <c r="P96" s="98"/>
      <c r="Q96" s="98"/>
      <c r="R96" s="98"/>
      <c r="S96" s="98"/>
      <c r="T96" s="98"/>
      <c r="U96" s="98"/>
      <c r="V96" s="98"/>
      <c r="W96" s="98"/>
      <c r="X96" s="98"/>
      <c r="Y96" s="98"/>
      <c r="Z96" s="98"/>
      <c r="AA96" s="98"/>
      <c r="AB96" s="98"/>
      <c r="AC96" s="98"/>
    </row>
    <row r="97">
      <c r="A97" s="98"/>
      <c r="B97" s="98"/>
      <c r="C97" s="98"/>
      <c r="D97" s="98"/>
      <c r="E97" s="121"/>
      <c r="F97" s="98"/>
      <c r="G97" s="98"/>
      <c r="H97" s="98"/>
      <c r="I97" s="98"/>
      <c r="J97" s="98"/>
      <c r="K97" s="98"/>
      <c r="L97" s="98"/>
      <c r="M97" s="98"/>
      <c r="N97" s="98"/>
      <c r="O97" s="98"/>
      <c r="P97" s="98"/>
      <c r="Q97" s="98"/>
      <c r="R97" s="98"/>
      <c r="S97" s="98"/>
      <c r="T97" s="98"/>
      <c r="U97" s="98"/>
      <c r="V97" s="98"/>
      <c r="W97" s="98"/>
      <c r="X97" s="98"/>
      <c r="Y97" s="98"/>
      <c r="Z97" s="98"/>
      <c r="AA97" s="98"/>
      <c r="AB97" s="98"/>
      <c r="AC97" s="98"/>
    </row>
    <row r="98">
      <c r="A98" s="98"/>
      <c r="B98" s="98"/>
      <c r="C98" s="98"/>
      <c r="D98" s="98"/>
      <c r="E98" s="121"/>
      <c r="F98" s="98"/>
      <c r="G98" s="98"/>
      <c r="H98" s="98"/>
      <c r="I98" s="98"/>
      <c r="J98" s="98"/>
      <c r="K98" s="98"/>
      <c r="L98" s="98"/>
      <c r="M98" s="98"/>
      <c r="N98" s="98"/>
      <c r="O98" s="98"/>
      <c r="P98" s="98"/>
      <c r="Q98" s="98"/>
      <c r="R98" s="98"/>
      <c r="S98" s="98"/>
      <c r="T98" s="98"/>
      <c r="U98" s="98"/>
      <c r="V98" s="98"/>
      <c r="W98" s="98"/>
      <c r="X98" s="98"/>
      <c r="Y98" s="98"/>
      <c r="Z98" s="98"/>
      <c r="AA98" s="98"/>
      <c r="AB98" s="98"/>
      <c r="AC98" s="98"/>
    </row>
    <row r="99">
      <c r="A99" s="98"/>
      <c r="B99" s="98"/>
      <c r="C99" s="98"/>
      <c r="D99" s="98"/>
      <c r="E99" s="121"/>
      <c r="F99" s="98"/>
      <c r="G99" s="98"/>
      <c r="H99" s="98"/>
      <c r="I99" s="98"/>
      <c r="J99" s="98"/>
      <c r="K99" s="98"/>
      <c r="L99" s="98"/>
      <c r="M99" s="98"/>
      <c r="N99" s="98"/>
      <c r="O99" s="98"/>
      <c r="P99" s="98"/>
      <c r="Q99" s="98"/>
      <c r="R99" s="98"/>
      <c r="S99" s="98"/>
      <c r="T99" s="98"/>
      <c r="U99" s="98"/>
      <c r="V99" s="98"/>
      <c r="W99" s="98"/>
      <c r="X99" s="98"/>
      <c r="Y99" s="98"/>
      <c r="Z99" s="98"/>
      <c r="AA99" s="98"/>
      <c r="AB99" s="98"/>
      <c r="AC99" s="98"/>
    </row>
    <row r="100">
      <c r="A100" s="98"/>
      <c r="B100" s="98"/>
      <c r="C100" s="98"/>
      <c r="D100" s="98"/>
      <c r="E100" s="121"/>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row>
    <row r="101">
      <c r="A101" s="98"/>
      <c r="B101" s="98"/>
      <c r="C101" s="98"/>
      <c r="D101" s="98"/>
      <c r="E101" s="121"/>
      <c r="F101" s="98"/>
      <c r="G101" s="98"/>
      <c r="H101" s="98"/>
      <c r="I101" s="98"/>
      <c r="J101" s="98"/>
      <c r="K101" s="98"/>
      <c r="L101" s="98"/>
      <c r="M101" s="98"/>
      <c r="N101" s="98"/>
      <c r="O101" s="98"/>
      <c r="P101" s="98"/>
      <c r="Q101" s="98"/>
      <c r="R101" s="98"/>
      <c r="S101" s="98"/>
      <c r="T101" s="98"/>
      <c r="U101" s="98"/>
      <c r="V101" s="98"/>
      <c r="W101" s="98"/>
      <c r="X101" s="98"/>
      <c r="Y101" s="98"/>
      <c r="Z101" s="98"/>
      <c r="AA101" s="98"/>
      <c r="AB101" s="98"/>
      <c r="AC101" s="98"/>
    </row>
    <row r="102">
      <c r="A102" s="98"/>
      <c r="B102" s="98"/>
      <c r="C102" s="98"/>
      <c r="D102" s="98"/>
      <c r="E102" s="121"/>
      <c r="F102" s="98"/>
      <c r="G102" s="98"/>
      <c r="H102" s="98"/>
      <c r="I102" s="98"/>
      <c r="J102" s="98"/>
      <c r="K102" s="98"/>
      <c r="L102" s="98"/>
      <c r="M102" s="98"/>
      <c r="N102" s="98"/>
      <c r="O102" s="98"/>
      <c r="P102" s="98"/>
      <c r="Q102" s="98"/>
      <c r="R102" s="98"/>
      <c r="S102" s="98"/>
      <c r="T102" s="98"/>
      <c r="U102" s="98"/>
      <c r="V102" s="98"/>
      <c r="W102" s="98"/>
      <c r="X102" s="98"/>
      <c r="Y102" s="98"/>
      <c r="Z102" s="98"/>
      <c r="AA102" s="98"/>
      <c r="AB102" s="98"/>
      <c r="AC102" s="98"/>
    </row>
    <row r="103">
      <c r="A103" s="98"/>
      <c r="B103" s="98"/>
      <c r="C103" s="98"/>
      <c r="D103" s="98"/>
      <c r="E103" s="121"/>
      <c r="F103" s="98"/>
      <c r="G103" s="98"/>
      <c r="H103" s="98"/>
      <c r="I103" s="98"/>
      <c r="J103" s="98"/>
      <c r="K103" s="98"/>
      <c r="L103" s="98"/>
      <c r="M103" s="98"/>
      <c r="N103" s="98"/>
      <c r="O103" s="98"/>
      <c r="P103" s="98"/>
      <c r="Q103" s="98"/>
      <c r="R103" s="98"/>
      <c r="S103" s="98"/>
      <c r="T103" s="98"/>
      <c r="U103" s="98"/>
      <c r="V103" s="98"/>
      <c r="W103" s="98"/>
      <c r="X103" s="98"/>
      <c r="Y103" s="98"/>
      <c r="Z103" s="98"/>
      <c r="AA103" s="98"/>
      <c r="AB103" s="98"/>
      <c r="AC103" s="98"/>
    </row>
    <row r="104">
      <c r="A104" s="98"/>
      <c r="B104" s="98"/>
      <c r="C104" s="98"/>
      <c r="D104" s="98"/>
      <c r="E104" s="121"/>
      <c r="F104" s="98"/>
      <c r="G104" s="98"/>
      <c r="H104" s="98"/>
      <c r="I104" s="98"/>
      <c r="J104" s="98"/>
      <c r="K104" s="98"/>
      <c r="L104" s="98"/>
      <c r="M104" s="98"/>
      <c r="N104" s="98"/>
      <c r="O104" s="98"/>
      <c r="P104" s="98"/>
      <c r="Q104" s="98"/>
      <c r="R104" s="98"/>
      <c r="S104" s="98"/>
      <c r="T104" s="98"/>
      <c r="U104" s="98"/>
      <c r="V104" s="98"/>
      <c r="W104" s="98"/>
      <c r="X104" s="98"/>
      <c r="Y104" s="98"/>
      <c r="Z104" s="98"/>
      <c r="AA104" s="98"/>
      <c r="AB104" s="98"/>
      <c r="AC104" s="98"/>
    </row>
    <row r="105">
      <c r="A105" s="98"/>
      <c r="B105" s="98"/>
      <c r="C105" s="98"/>
      <c r="D105" s="98"/>
      <c r="E105" s="121"/>
      <c r="F105" s="98"/>
      <c r="G105" s="98"/>
      <c r="H105" s="98"/>
      <c r="I105" s="98"/>
      <c r="J105" s="98"/>
      <c r="K105" s="98"/>
      <c r="L105" s="98"/>
      <c r="M105" s="98"/>
      <c r="N105" s="98"/>
      <c r="O105" s="98"/>
      <c r="P105" s="98"/>
      <c r="Q105" s="98"/>
      <c r="R105" s="98"/>
      <c r="S105" s="98"/>
      <c r="T105" s="98"/>
      <c r="U105" s="98"/>
      <c r="V105" s="98"/>
      <c r="W105" s="98"/>
      <c r="X105" s="98"/>
      <c r="Y105" s="98"/>
      <c r="Z105" s="98"/>
      <c r="AA105" s="98"/>
      <c r="AB105" s="98"/>
      <c r="AC105" s="98"/>
    </row>
    <row r="106">
      <c r="A106" s="98"/>
      <c r="B106" s="98"/>
      <c r="C106" s="98"/>
      <c r="D106" s="98"/>
      <c r="E106" s="121"/>
      <c r="F106" s="98"/>
      <c r="G106" s="98"/>
      <c r="H106" s="98"/>
      <c r="I106" s="98"/>
      <c r="J106" s="98"/>
      <c r="K106" s="98"/>
      <c r="L106" s="98"/>
      <c r="M106" s="98"/>
      <c r="N106" s="98"/>
      <c r="O106" s="98"/>
      <c r="P106" s="98"/>
      <c r="Q106" s="98"/>
      <c r="R106" s="98"/>
      <c r="S106" s="98"/>
      <c r="T106" s="98"/>
      <c r="U106" s="98"/>
      <c r="V106" s="98"/>
      <c r="W106" s="98"/>
      <c r="X106" s="98"/>
      <c r="Y106" s="98"/>
      <c r="Z106" s="98"/>
      <c r="AA106" s="98"/>
      <c r="AB106" s="98"/>
      <c r="AC106" s="98"/>
    </row>
    <row r="107">
      <c r="A107" s="98"/>
      <c r="B107" s="98"/>
      <c r="C107" s="98"/>
      <c r="D107" s="98"/>
      <c r="E107" s="121"/>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row>
    <row r="108">
      <c r="A108" s="98"/>
      <c r="B108" s="98"/>
      <c r="C108" s="98"/>
      <c r="D108" s="98"/>
      <c r="E108" s="121"/>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row>
    <row r="109">
      <c r="A109" s="98"/>
      <c r="B109" s="98"/>
      <c r="C109" s="98"/>
      <c r="D109" s="98"/>
      <c r="E109" s="121"/>
      <c r="F109" s="98"/>
      <c r="G109" s="98"/>
      <c r="H109" s="98"/>
      <c r="I109" s="98"/>
      <c r="J109" s="98"/>
      <c r="K109" s="98"/>
      <c r="L109" s="98"/>
      <c r="M109" s="98"/>
      <c r="N109" s="98"/>
      <c r="O109" s="98"/>
      <c r="P109" s="98"/>
      <c r="Q109" s="98"/>
      <c r="R109" s="98"/>
      <c r="S109" s="98"/>
      <c r="T109" s="98"/>
      <c r="U109" s="98"/>
      <c r="V109" s="98"/>
      <c r="W109" s="98"/>
      <c r="X109" s="98"/>
      <c r="Y109" s="98"/>
      <c r="Z109" s="98"/>
      <c r="AA109" s="98"/>
      <c r="AB109" s="98"/>
      <c r="AC109" s="98"/>
    </row>
    <row r="110">
      <c r="A110" s="98"/>
      <c r="B110" s="98"/>
      <c r="C110" s="98"/>
      <c r="D110" s="98"/>
      <c r="E110" s="121"/>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row>
    <row r="111">
      <c r="A111" s="98"/>
      <c r="B111" s="98"/>
      <c r="C111" s="98"/>
      <c r="D111" s="98"/>
      <c r="E111" s="121"/>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row>
    <row r="112">
      <c r="A112" s="98"/>
      <c r="B112" s="98"/>
      <c r="C112" s="98"/>
      <c r="D112" s="98"/>
      <c r="E112" s="121"/>
      <c r="F112" s="98"/>
      <c r="G112" s="98"/>
      <c r="H112" s="98"/>
      <c r="I112" s="98"/>
      <c r="J112" s="98"/>
      <c r="K112" s="98"/>
      <c r="L112" s="98"/>
      <c r="M112" s="98"/>
      <c r="N112" s="98"/>
      <c r="O112" s="98"/>
      <c r="P112" s="98"/>
      <c r="Q112" s="98"/>
      <c r="R112" s="98"/>
      <c r="S112" s="98"/>
      <c r="T112" s="98"/>
      <c r="U112" s="98"/>
      <c r="V112" s="98"/>
      <c r="W112" s="98"/>
      <c r="X112" s="98"/>
      <c r="Y112" s="98"/>
      <c r="Z112" s="98"/>
      <c r="AA112" s="98"/>
      <c r="AB112" s="98"/>
      <c r="AC112" s="98"/>
    </row>
    <row r="113">
      <c r="A113" s="98"/>
      <c r="B113" s="98"/>
      <c r="C113" s="98"/>
      <c r="D113" s="98"/>
      <c r="E113" s="121"/>
      <c r="F113" s="98"/>
      <c r="G113" s="98"/>
      <c r="H113" s="98"/>
      <c r="I113" s="98"/>
      <c r="J113" s="98"/>
      <c r="K113" s="98"/>
      <c r="L113" s="98"/>
      <c r="M113" s="98"/>
      <c r="N113" s="98"/>
      <c r="O113" s="98"/>
      <c r="P113" s="98"/>
      <c r="Q113" s="98"/>
      <c r="R113" s="98"/>
      <c r="S113" s="98"/>
      <c r="T113" s="98"/>
      <c r="U113" s="98"/>
      <c r="V113" s="98"/>
      <c r="W113" s="98"/>
      <c r="X113" s="98"/>
      <c r="Y113" s="98"/>
      <c r="Z113" s="98"/>
      <c r="AA113" s="98"/>
      <c r="AB113" s="98"/>
      <c r="AC113" s="98"/>
    </row>
    <row r="114">
      <c r="A114" s="98"/>
      <c r="B114" s="98"/>
      <c r="C114" s="98"/>
      <c r="D114" s="98"/>
      <c r="E114" s="121"/>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row>
    <row r="115">
      <c r="A115" s="98"/>
      <c r="B115" s="98"/>
      <c r="C115" s="98"/>
      <c r="D115" s="98"/>
      <c r="E115" s="121"/>
      <c r="F115" s="98"/>
      <c r="G115" s="98"/>
      <c r="H115" s="98"/>
      <c r="I115" s="98"/>
      <c r="J115" s="98"/>
      <c r="K115" s="98"/>
      <c r="L115" s="98"/>
      <c r="M115" s="98"/>
      <c r="N115" s="98"/>
      <c r="O115" s="98"/>
      <c r="P115" s="98"/>
      <c r="Q115" s="98"/>
      <c r="R115" s="98"/>
      <c r="S115" s="98"/>
      <c r="T115" s="98"/>
      <c r="U115" s="98"/>
      <c r="V115" s="98"/>
      <c r="W115" s="98"/>
      <c r="X115" s="98"/>
      <c r="Y115" s="98"/>
      <c r="Z115" s="98"/>
      <c r="AA115" s="98"/>
      <c r="AB115" s="98"/>
      <c r="AC115" s="98"/>
    </row>
    <row r="116">
      <c r="A116" s="98"/>
      <c r="B116" s="98"/>
      <c r="C116" s="98"/>
      <c r="D116" s="98"/>
      <c r="E116" s="121"/>
      <c r="F116" s="98"/>
      <c r="G116" s="98"/>
      <c r="H116" s="98"/>
      <c r="I116" s="98"/>
      <c r="J116" s="98"/>
      <c r="K116" s="98"/>
      <c r="L116" s="98"/>
      <c r="M116" s="98"/>
      <c r="N116" s="98"/>
      <c r="O116" s="98"/>
      <c r="P116" s="98"/>
      <c r="Q116" s="98"/>
      <c r="R116" s="98"/>
      <c r="S116" s="98"/>
      <c r="T116" s="98"/>
      <c r="U116" s="98"/>
      <c r="V116" s="98"/>
      <c r="W116" s="98"/>
      <c r="X116" s="98"/>
      <c r="Y116" s="98"/>
      <c r="Z116" s="98"/>
      <c r="AA116" s="98"/>
      <c r="AB116" s="98"/>
      <c r="AC116" s="98"/>
    </row>
    <row r="117">
      <c r="A117" s="98"/>
      <c r="B117" s="98"/>
      <c r="C117" s="98"/>
      <c r="D117" s="98"/>
      <c r="E117" s="121"/>
      <c r="F117" s="98"/>
      <c r="G117" s="98"/>
      <c r="H117" s="98"/>
      <c r="I117" s="98"/>
      <c r="J117" s="98"/>
      <c r="K117" s="98"/>
      <c r="L117" s="98"/>
      <c r="M117" s="98"/>
      <c r="N117" s="98"/>
      <c r="O117" s="98"/>
      <c r="P117" s="98"/>
      <c r="Q117" s="98"/>
      <c r="R117" s="98"/>
      <c r="S117" s="98"/>
      <c r="T117" s="98"/>
      <c r="U117" s="98"/>
      <c r="V117" s="98"/>
      <c r="W117" s="98"/>
      <c r="X117" s="98"/>
      <c r="Y117" s="98"/>
      <c r="Z117" s="98"/>
      <c r="AA117" s="98"/>
      <c r="AB117" s="98"/>
      <c r="AC117" s="98"/>
    </row>
    <row r="118">
      <c r="A118" s="98"/>
      <c r="B118" s="98"/>
      <c r="C118" s="98"/>
      <c r="D118" s="98"/>
      <c r="E118" s="121"/>
      <c r="F118" s="98"/>
      <c r="G118" s="98"/>
      <c r="H118" s="98"/>
      <c r="I118" s="98"/>
      <c r="J118" s="98"/>
      <c r="K118" s="98"/>
      <c r="L118" s="98"/>
      <c r="M118" s="98"/>
      <c r="N118" s="98"/>
      <c r="O118" s="98"/>
      <c r="P118" s="98"/>
      <c r="Q118" s="98"/>
      <c r="R118" s="98"/>
      <c r="S118" s="98"/>
      <c r="T118" s="98"/>
      <c r="U118" s="98"/>
      <c r="V118" s="98"/>
      <c r="W118" s="98"/>
      <c r="X118" s="98"/>
      <c r="Y118" s="98"/>
      <c r="Z118" s="98"/>
      <c r="AA118" s="98"/>
      <c r="AB118" s="98"/>
      <c r="AC118" s="98"/>
    </row>
    <row r="119">
      <c r="A119" s="98"/>
      <c r="B119" s="98"/>
      <c r="C119" s="98"/>
      <c r="D119" s="98"/>
      <c r="E119" s="121"/>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row>
    <row r="120">
      <c r="A120" s="98"/>
      <c r="B120" s="98"/>
      <c r="C120" s="98"/>
      <c r="D120" s="98"/>
      <c r="E120" s="121"/>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row>
    <row r="121">
      <c r="A121" s="98"/>
      <c r="B121" s="98"/>
      <c r="C121" s="98"/>
      <c r="D121" s="98"/>
      <c r="E121" s="121"/>
      <c r="F121" s="98"/>
      <c r="G121" s="98"/>
      <c r="H121" s="98"/>
      <c r="I121" s="98"/>
      <c r="J121" s="98"/>
      <c r="K121" s="98"/>
      <c r="L121" s="98"/>
      <c r="M121" s="98"/>
      <c r="N121" s="98"/>
      <c r="O121" s="98"/>
      <c r="P121" s="98"/>
      <c r="Q121" s="98"/>
      <c r="R121" s="98"/>
      <c r="S121" s="98"/>
      <c r="T121" s="98"/>
      <c r="U121" s="98"/>
      <c r="V121" s="98"/>
      <c r="W121" s="98"/>
      <c r="X121" s="98"/>
      <c r="Y121" s="98"/>
      <c r="Z121" s="98"/>
      <c r="AA121" s="98"/>
      <c r="AB121" s="98"/>
      <c r="AC121" s="98"/>
    </row>
    <row r="122">
      <c r="A122" s="98"/>
      <c r="B122" s="98"/>
      <c r="C122" s="98"/>
      <c r="D122" s="98"/>
      <c r="E122" s="121"/>
      <c r="F122" s="98"/>
      <c r="G122" s="98"/>
      <c r="H122" s="98"/>
      <c r="I122" s="98"/>
      <c r="J122" s="98"/>
      <c r="K122" s="98"/>
      <c r="L122" s="98"/>
      <c r="M122" s="98"/>
      <c r="N122" s="98"/>
      <c r="O122" s="98"/>
      <c r="P122" s="98"/>
      <c r="Q122" s="98"/>
      <c r="R122" s="98"/>
      <c r="S122" s="98"/>
      <c r="T122" s="98"/>
      <c r="U122" s="98"/>
      <c r="V122" s="98"/>
      <c r="W122" s="98"/>
      <c r="X122" s="98"/>
      <c r="Y122" s="98"/>
      <c r="Z122" s="98"/>
      <c r="AA122" s="98"/>
      <c r="AB122" s="98"/>
      <c r="AC122" s="98"/>
    </row>
    <row r="123">
      <c r="A123" s="98"/>
      <c r="B123" s="98"/>
      <c r="C123" s="98"/>
      <c r="D123" s="98"/>
      <c r="E123" s="121"/>
      <c r="F123" s="98"/>
      <c r="G123" s="98"/>
      <c r="H123" s="98"/>
      <c r="I123" s="98"/>
      <c r="J123" s="98"/>
      <c r="K123" s="98"/>
      <c r="L123" s="98"/>
      <c r="M123" s="98"/>
      <c r="N123" s="98"/>
      <c r="O123" s="98"/>
      <c r="P123" s="98"/>
      <c r="Q123" s="98"/>
      <c r="R123" s="98"/>
      <c r="S123" s="98"/>
      <c r="T123" s="98"/>
      <c r="U123" s="98"/>
      <c r="V123" s="98"/>
      <c r="W123" s="98"/>
      <c r="X123" s="98"/>
      <c r="Y123" s="98"/>
      <c r="Z123" s="98"/>
      <c r="AA123" s="98"/>
      <c r="AB123" s="98"/>
      <c r="AC123" s="98"/>
    </row>
    <row r="124">
      <c r="A124" s="98"/>
      <c r="B124" s="98"/>
      <c r="C124" s="98"/>
      <c r="D124" s="98"/>
      <c r="E124" s="121"/>
      <c r="F124" s="98"/>
      <c r="G124" s="98"/>
      <c r="H124" s="98"/>
      <c r="I124" s="98"/>
      <c r="J124" s="98"/>
      <c r="K124" s="98"/>
      <c r="L124" s="98"/>
      <c r="M124" s="98"/>
      <c r="N124" s="98"/>
      <c r="O124" s="98"/>
      <c r="P124" s="98"/>
      <c r="Q124" s="98"/>
      <c r="R124" s="98"/>
      <c r="S124" s="98"/>
      <c r="T124" s="98"/>
      <c r="U124" s="98"/>
      <c r="V124" s="98"/>
      <c r="W124" s="98"/>
      <c r="X124" s="98"/>
      <c r="Y124" s="98"/>
      <c r="Z124" s="98"/>
      <c r="AA124" s="98"/>
      <c r="AB124" s="98"/>
      <c r="AC124" s="98"/>
    </row>
    <row r="125">
      <c r="A125" s="98"/>
      <c r="B125" s="98"/>
      <c r="C125" s="98"/>
      <c r="D125" s="98"/>
      <c r="E125" s="121"/>
      <c r="F125" s="98"/>
      <c r="G125" s="98"/>
      <c r="H125" s="98"/>
      <c r="I125" s="98"/>
      <c r="J125" s="98"/>
      <c r="K125" s="98"/>
      <c r="L125" s="98"/>
      <c r="M125" s="98"/>
      <c r="N125" s="98"/>
      <c r="O125" s="98"/>
      <c r="P125" s="98"/>
      <c r="Q125" s="98"/>
      <c r="R125" s="98"/>
      <c r="S125" s="98"/>
      <c r="T125" s="98"/>
      <c r="U125" s="98"/>
      <c r="V125" s="98"/>
      <c r="W125" s="98"/>
      <c r="X125" s="98"/>
      <c r="Y125" s="98"/>
      <c r="Z125" s="98"/>
      <c r="AA125" s="98"/>
      <c r="AB125" s="98"/>
      <c r="AC125" s="98"/>
    </row>
    <row r="126">
      <c r="A126" s="98"/>
      <c r="B126" s="98"/>
      <c r="C126" s="98"/>
      <c r="D126" s="98"/>
      <c r="E126" s="121"/>
      <c r="F126" s="98"/>
      <c r="G126" s="98"/>
      <c r="H126" s="98"/>
      <c r="I126" s="98"/>
      <c r="J126" s="98"/>
      <c r="K126" s="98"/>
      <c r="L126" s="98"/>
      <c r="M126" s="98"/>
      <c r="N126" s="98"/>
      <c r="O126" s="98"/>
      <c r="P126" s="98"/>
      <c r="Q126" s="98"/>
      <c r="R126" s="98"/>
      <c r="S126" s="98"/>
      <c r="T126" s="98"/>
      <c r="U126" s="98"/>
      <c r="V126" s="98"/>
      <c r="W126" s="98"/>
      <c r="X126" s="98"/>
      <c r="Y126" s="98"/>
      <c r="Z126" s="98"/>
      <c r="AA126" s="98"/>
      <c r="AB126" s="98"/>
      <c r="AC126" s="98"/>
    </row>
    <row r="127">
      <c r="A127" s="98"/>
      <c r="B127" s="98"/>
      <c r="C127" s="98"/>
      <c r="D127" s="98"/>
      <c r="E127" s="121"/>
      <c r="F127" s="98"/>
      <c r="G127" s="98"/>
      <c r="H127" s="98"/>
      <c r="I127" s="98"/>
      <c r="J127" s="98"/>
      <c r="K127" s="98"/>
      <c r="L127" s="98"/>
      <c r="M127" s="98"/>
      <c r="N127" s="98"/>
      <c r="O127" s="98"/>
      <c r="P127" s="98"/>
      <c r="Q127" s="98"/>
      <c r="R127" s="98"/>
      <c r="S127" s="98"/>
      <c r="T127" s="98"/>
      <c r="U127" s="98"/>
      <c r="V127" s="98"/>
      <c r="W127" s="98"/>
      <c r="X127" s="98"/>
      <c r="Y127" s="98"/>
      <c r="Z127" s="98"/>
      <c r="AA127" s="98"/>
      <c r="AB127" s="98"/>
      <c r="AC127" s="98"/>
    </row>
    <row r="128">
      <c r="A128" s="98"/>
      <c r="B128" s="98"/>
      <c r="C128" s="98"/>
      <c r="D128" s="98"/>
      <c r="E128" s="121"/>
      <c r="F128" s="98"/>
      <c r="G128" s="98"/>
      <c r="H128" s="98"/>
      <c r="I128" s="98"/>
      <c r="J128" s="98"/>
      <c r="K128" s="98"/>
      <c r="L128" s="98"/>
      <c r="M128" s="98"/>
      <c r="N128" s="98"/>
      <c r="O128" s="98"/>
      <c r="P128" s="98"/>
      <c r="Q128" s="98"/>
      <c r="R128" s="98"/>
      <c r="S128" s="98"/>
      <c r="T128" s="98"/>
      <c r="U128" s="98"/>
      <c r="V128" s="98"/>
      <c r="W128" s="98"/>
      <c r="X128" s="98"/>
      <c r="Y128" s="98"/>
      <c r="Z128" s="98"/>
      <c r="AA128" s="98"/>
      <c r="AB128" s="98"/>
      <c r="AC128" s="98"/>
    </row>
    <row r="129">
      <c r="A129" s="98"/>
      <c r="B129" s="98"/>
      <c r="C129" s="98"/>
      <c r="D129" s="98"/>
      <c r="E129" s="121"/>
      <c r="F129" s="98"/>
      <c r="G129" s="98"/>
      <c r="H129" s="98"/>
      <c r="I129" s="98"/>
      <c r="J129" s="98"/>
      <c r="K129" s="98"/>
      <c r="L129" s="98"/>
      <c r="M129" s="98"/>
      <c r="N129" s="98"/>
      <c r="O129" s="98"/>
      <c r="P129" s="98"/>
      <c r="Q129" s="98"/>
      <c r="R129" s="98"/>
      <c r="S129" s="98"/>
      <c r="T129" s="98"/>
      <c r="U129" s="98"/>
      <c r="V129" s="98"/>
      <c r="W129" s="98"/>
      <c r="X129" s="98"/>
      <c r="Y129" s="98"/>
      <c r="Z129" s="98"/>
      <c r="AA129" s="98"/>
      <c r="AB129" s="98"/>
      <c r="AC129" s="98"/>
    </row>
    <row r="130">
      <c r="A130" s="98"/>
      <c r="B130" s="98"/>
      <c r="C130" s="98"/>
      <c r="D130" s="98"/>
      <c r="E130" s="121"/>
      <c r="F130" s="98"/>
      <c r="G130" s="98"/>
      <c r="H130" s="98"/>
      <c r="I130" s="98"/>
      <c r="J130" s="98"/>
      <c r="K130" s="98"/>
      <c r="L130" s="98"/>
      <c r="M130" s="98"/>
      <c r="N130" s="98"/>
      <c r="O130" s="98"/>
      <c r="P130" s="98"/>
      <c r="Q130" s="98"/>
      <c r="R130" s="98"/>
      <c r="S130" s="98"/>
      <c r="T130" s="98"/>
      <c r="U130" s="98"/>
      <c r="V130" s="98"/>
      <c r="W130" s="98"/>
      <c r="X130" s="98"/>
      <c r="Y130" s="98"/>
      <c r="Z130" s="98"/>
      <c r="AA130" s="98"/>
      <c r="AB130" s="98"/>
      <c r="AC130" s="98"/>
    </row>
    <row r="131">
      <c r="A131" s="98"/>
      <c r="B131" s="98"/>
      <c r="C131" s="98"/>
      <c r="D131" s="98"/>
      <c r="E131" s="121"/>
      <c r="F131" s="98"/>
      <c r="G131" s="98"/>
      <c r="H131" s="98"/>
      <c r="I131" s="98"/>
      <c r="J131" s="98"/>
      <c r="K131" s="98"/>
      <c r="L131" s="98"/>
      <c r="M131" s="98"/>
      <c r="N131" s="98"/>
      <c r="O131" s="98"/>
      <c r="P131" s="98"/>
      <c r="Q131" s="98"/>
      <c r="R131" s="98"/>
      <c r="S131" s="98"/>
      <c r="T131" s="98"/>
      <c r="U131" s="98"/>
      <c r="V131" s="98"/>
      <c r="W131" s="98"/>
      <c r="X131" s="98"/>
      <c r="Y131" s="98"/>
      <c r="Z131" s="98"/>
      <c r="AA131" s="98"/>
      <c r="AB131" s="98"/>
      <c r="AC131" s="98"/>
    </row>
    <row r="132">
      <c r="A132" s="98"/>
      <c r="B132" s="98"/>
      <c r="C132" s="98"/>
      <c r="D132" s="98"/>
      <c r="E132" s="121"/>
      <c r="F132" s="98"/>
      <c r="G132" s="98"/>
      <c r="H132" s="98"/>
      <c r="I132" s="98"/>
      <c r="J132" s="98"/>
      <c r="K132" s="98"/>
      <c r="L132" s="98"/>
      <c r="M132" s="98"/>
      <c r="N132" s="98"/>
      <c r="O132" s="98"/>
      <c r="P132" s="98"/>
      <c r="Q132" s="98"/>
      <c r="R132" s="98"/>
      <c r="S132" s="98"/>
      <c r="T132" s="98"/>
      <c r="U132" s="98"/>
      <c r="V132" s="98"/>
      <c r="W132" s="98"/>
      <c r="X132" s="98"/>
      <c r="Y132" s="98"/>
      <c r="Z132" s="98"/>
      <c r="AA132" s="98"/>
      <c r="AB132" s="98"/>
      <c r="AC132" s="98"/>
    </row>
    <row r="133">
      <c r="A133" s="98"/>
      <c r="B133" s="98"/>
      <c r="C133" s="98"/>
      <c r="D133" s="98"/>
      <c r="E133" s="121"/>
      <c r="F133" s="98"/>
      <c r="G133" s="98"/>
      <c r="H133" s="98"/>
      <c r="I133" s="98"/>
      <c r="J133" s="98"/>
      <c r="K133" s="98"/>
      <c r="L133" s="98"/>
      <c r="M133" s="98"/>
      <c r="N133" s="98"/>
      <c r="O133" s="98"/>
      <c r="P133" s="98"/>
      <c r="Q133" s="98"/>
      <c r="R133" s="98"/>
      <c r="S133" s="98"/>
      <c r="T133" s="98"/>
      <c r="U133" s="98"/>
      <c r="V133" s="98"/>
      <c r="W133" s="98"/>
      <c r="X133" s="98"/>
      <c r="Y133" s="98"/>
      <c r="Z133" s="98"/>
      <c r="AA133" s="98"/>
      <c r="AB133" s="98"/>
      <c r="AC133" s="98"/>
    </row>
    <row r="134">
      <c r="A134" s="98"/>
      <c r="B134" s="98"/>
      <c r="C134" s="98"/>
      <c r="D134" s="98"/>
      <c r="E134" s="121"/>
      <c r="F134" s="98"/>
      <c r="G134" s="98"/>
      <c r="H134" s="98"/>
      <c r="I134" s="98"/>
      <c r="J134" s="98"/>
      <c r="K134" s="98"/>
      <c r="L134" s="98"/>
      <c r="M134" s="98"/>
      <c r="N134" s="98"/>
      <c r="O134" s="98"/>
      <c r="P134" s="98"/>
      <c r="Q134" s="98"/>
      <c r="R134" s="98"/>
      <c r="S134" s="98"/>
      <c r="T134" s="98"/>
      <c r="U134" s="98"/>
      <c r="V134" s="98"/>
      <c r="W134" s="98"/>
      <c r="X134" s="98"/>
      <c r="Y134" s="98"/>
      <c r="Z134" s="98"/>
      <c r="AA134" s="98"/>
      <c r="AB134" s="98"/>
      <c r="AC134" s="98"/>
    </row>
    <row r="135">
      <c r="A135" s="98"/>
      <c r="B135" s="98"/>
      <c r="C135" s="98"/>
      <c r="D135" s="98"/>
      <c r="E135" s="121"/>
      <c r="F135" s="98"/>
      <c r="G135" s="98"/>
      <c r="H135" s="98"/>
      <c r="I135" s="98"/>
      <c r="J135" s="98"/>
      <c r="K135" s="98"/>
      <c r="L135" s="98"/>
      <c r="M135" s="98"/>
      <c r="N135" s="98"/>
      <c r="O135" s="98"/>
      <c r="P135" s="98"/>
      <c r="Q135" s="98"/>
      <c r="R135" s="98"/>
      <c r="S135" s="98"/>
      <c r="T135" s="98"/>
      <c r="U135" s="98"/>
      <c r="V135" s="98"/>
      <c r="W135" s="98"/>
      <c r="X135" s="98"/>
      <c r="Y135" s="98"/>
      <c r="Z135" s="98"/>
      <c r="AA135" s="98"/>
      <c r="AB135" s="98"/>
      <c r="AC135" s="98"/>
    </row>
    <row r="136">
      <c r="A136" s="98"/>
      <c r="B136" s="98"/>
      <c r="C136" s="98"/>
      <c r="D136" s="98"/>
      <c r="E136" s="121"/>
      <c r="F136" s="98"/>
      <c r="G136" s="98"/>
      <c r="H136" s="98"/>
      <c r="I136" s="98"/>
      <c r="J136" s="98"/>
      <c r="K136" s="98"/>
      <c r="L136" s="98"/>
      <c r="M136" s="98"/>
      <c r="N136" s="98"/>
      <c r="O136" s="98"/>
      <c r="P136" s="98"/>
      <c r="Q136" s="98"/>
      <c r="R136" s="98"/>
      <c r="S136" s="98"/>
      <c r="T136" s="98"/>
      <c r="U136" s="98"/>
      <c r="V136" s="98"/>
      <c r="W136" s="98"/>
      <c r="X136" s="98"/>
      <c r="Y136" s="98"/>
      <c r="Z136" s="98"/>
      <c r="AA136" s="98"/>
      <c r="AB136" s="98"/>
      <c r="AC136" s="98"/>
    </row>
    <row r="137">
      <c r="A137" s="98"/>
      <c r="B137" s="98"/>
      <c r="C137" s="98"/>
      <c r="D137" s="98"/>
      <c r="E137" s="121"/>
      <c r="F137" s="98"/>
      <c r="G137" s="98"/>
      <c r="H137" s="98"/>
      <c r="I137" s="98"/>
      <c r="J137" s="98"/>
      <c r="K137" s="98"/>
      <c r="L137" s="98"/>
      <c r="M137" s="98"/>
      <c r="N137" s="98"/>
      <c r="O137" s="98"/>
      <c r="P137" s="98"/>
      <c r="Q137" s="98"/>
      <c r="R137" s="98"/>
      <c r="S137" s="98"/>
      <c r="T137" s="98"/>
      <c r="U137" s="98"/>
      <c r="V137" s="98"/>
      <c r="W137" s="98"/>
      <c r="X137" s="98"/>
      <c r="Y137" s="98"/>
      <c r="Z137" s="98"/>
      <c r="AA137" s="98"/>
      <c r="AB137" s="98"/>
      <c r="AC137" s="98"/>
    </row>
    <row r="138">
      <c r="A138" s="98"/>
      <c r="B138" s="98"/>
      <c r="C138" s="98"/>
      <c r="D138" s="98"/>
      <c r="E138" s="121"/>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row>
    <row r="139">
      <c r="A139" s="98"/>
      <c r="B139" s="98"/>
      <c r="C139" s="98"/>
      <c r="D139" s="98"/>
      <c r="E139" s="121"/>
      <c r="F139" s="98"/>
      <c r="G139" s="98"/>
      <c r="H139" s="98"/>
      <c r="I139" s="98"/>
      <c r="J139" s="98"/>
      <c r="K139" s="98"/>
      <c r="L139" s="98"/>
      <c r="M139" s="98"/>
      <c r="N139" s="98"/>
      <c r="O139" s="98"/>
      <c r="P139" s="98"/>
      <c r="Q139" s="98"/>
      <c r="R139" s="98"/>
      <c r="S139" s="98"/>
      <c r="T139" s="98"/>
      <c r="U139" s="98"/>
      <c r="V139" s="98"/>
      <c r="W139" s="98"/>
      <c r="X139" s="98"/>
      <c r="Y139" s="98"/>
      <c r="Z139" s="98"/>
      <c r="AA139" s="98"/>
      <c r="AB139" s="98"/>
      <c r="AC139" s="98"/>
    </row>
    <row r="140">
      <c r="A140" s="98"/>
      <c r="B140" s="98"/>
      <c r="C140" s="98"/>
      <c r="D140" s="98"/>
      <c r="E140" s="121"/>
      <c r="F140" s="98"/>
      <c r="G140" s="98"/>
      <c r="H140" s="98"/>
      <c r="I140" s="98"/>
      <c r="J140" s="98"/>
      <c r="K140" s="98"/>
      <c r="L140" s="98"/>
      <c r="M140" s="98"/>
      <c r="N140" s="98"/>
      <c r="O140" s="98"/>
      <c r="P140" s="98"/>
      <c r="Q140" s="98"/>
      <c r="R140" s="98"/>
      <c r="S140" s="98"/>
      <c r="T140" s="98"/>
      <c r="U140" s="98"/>
      <c r="V140" s="98"/>
      <c r="W140" s="98"/>
      <c r="X140" s="98"/>
      <c r="Y140" s="98"/>
      <c r="Z140" s="98"/>
      <c r="AA140" s="98"/>
      <c r="AB140" s="98"/>
      <c r="AC140" s="98"/>
    </row>
    <row r="141">
      <c r="A141" s="98"/>
      <c r="B141" s="98"/>
      <c r="C141" s="98"/>
      <c r="D141" s="98"/>
      <c r="E141" s="121"/>
      <c r="F141" s="98"/>
      <c r="G141" s="98"/>
      <c r="H141" s="98"/>
      <c r="I141" s="98"/>
      <c r="J141" s="98"/>
      <c r="K141" s="98"/>
      <c r="L141" s="98"/>
      <c r="M141" s="98"/>
      <c r="N141" s="98"/>
      <c r="O141" s="98"/>
      <c r="P141" s="98"/>
      <c r="Q141" s="98"/>
      <c r="R141" s="98"/>
      <c r="S141" s="98"/>
      <c r="T141" s="98"/>
      <c r="U141" s="98"/>
      <c r="V141" s="98"/>
      <c r="W141" s="98"/>
      <c r="X141" s="98"/>
      <c r="Y141" s="98"/>
      <c r="Z141" s="98"/>
      <c r="AA141" s="98"/>
      <c r="AB141" s="98"/>
      <c r="AC141" s="98"/>
    </row>
    <row r="142">
      <c r="A142" s="98"/>
      <c r="B142" s="98"/>
      <c r="C142" s="98"/>
      <c r="D142" s="98"/>
      <c r="E142" s="121"/>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row>
    <row r="143">
      <c r="A143" s="98"/>
      <c r="B143" s="98"/>
      <c r="C143" s="98"/>
      <c r="D143" s="98"/>
      <c r="E143" s="121"/>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row>
    <row r="144">
      <c r="A144" s="98"/>
      <c r="B144" s="98"/>
      <c r="C144" s="98"/>
      <c r="D144" s="98"/>
      <c r="E144" s="121"/>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row>
    <row r="145">
      <c r="A145" s="98"/>
      <c r="B145" s="98"/>
      <c r="C145" s="98"/>
      <c r="D145" s="98"/>
      <c r="E145" s="121"/>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row>
    <row r="146">
      <c r="A146" s="98"/>
      <c r="B146" s="98"/>
      <c r="C146" s="98"/>
      <c r="D146" s="98"/>
      <c r="E146" s="121"/>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row>
    <row r="147">
      <c r="A147" s="98"/>
      <c r="B147" s="98"/>
      <c r="C147" s="98"/>
      <c r="D147" s="98"/>
      <c r="E147" s="121"/>
      <c r="F147" s="98"/>
      <c r="G147" s="98"/>
      <c r="H147" s="98"/>
      <c r="I147" s="98"/>
      <c r="J147" s="98"/>
      <c r="K147" s="98"/>
      <c r="L147" s="98"/>
      <c r="M147" s="98"/>
      <c r="N147" s="98"/>
      <c r="O147" s="98"/>
      <c r="P147" s="98"/>
      <c r="Q147" s="98"/>
      <c r="R147" s="98"/>
      <c r="S147" s="98"/>
      <c r="T147" s="98"/>
      <c r="U147" s="98"/>
      <c r="V147" s="98"/>
      <c r="W147" s="98"/>
      <c r="X147" s="98"/>
      <c r="Y147" s="98"/>
      <c r="Z147" s="98"/>
      <c r="AA147" s="98"/>
      <c r="AB147" s="98"/>
      <c r="AC147" s="98"/>
    </row>
    <row r="148">
      <c r="A148" s="98"/>
      <c r="B148" s="98"/>
      <c r="C148" s="98"/>
      <c r="D148" s="98"/>
      <c r="E148" s="121"/>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row>
    <row r="149">
      <c r="A149" s="98"/>
      <c r="B149" s="98"/>
      <c r="C149" s="98"/>
      <c r="D149" s="98"/>
      <c r="E149" s="121"/>
      <c r="F149" s="98"/>
      <c r="G149" s="98"/>
      <c r="H149" s="98"/>
      <c r="I149" s="98"/>
      <c r="J149" s="98"/>
      <c r="K149" s="98"/>
      <c r="L149" s="98"/>
      <c r="M149" s="98"/>
      <c r="N149" s="98"/>
      <c r="O149" s="98"/>
      <c r="P149" s="98"/>
      <c r="Q149" s="98"/>
      <c r="R149" s="98"/>
      <c r="S149" s="98"/>
      <c r="T149" s="98"/>
      <c r="U149" s="98"/>
      <c r="V149" s="98"/>
      <c r="W149" s="98"/>
      <c r="X149" s="98"/>
      <c r="Y149" s="98"/>
      <c r="Z149" s="98"/>
      <c r="AA149" s="98"/>
      <c r="AB149" s="98"/>
      <c r="AC149" s="98"/>
    </row>
    <row r="150">
      <c r="A150" s="98"/>
      <c r="B150" s="98"/>
      <c r="C150" s="98"/>
      <c r="D150" s="98"/>
      <c r="E150" s="121"/>
      <c r="F150" s="98"/>
      <c r="G150" s="98"/>
      <c r="H150" s="98"/>
      <c r="I150" s="98"/>
      <c r="J150" s="98"/>
      <c r="K150" s="98"/>
      <c r="L150" s="98"/>
      <c r="M150" s="98"/>
      <c r="N150" s="98"/>
      <c r="O150" s="98"/>
      <c r="P150" s="98"/>
      <c r="Q150" s="98"/>
      <c r="R150" s="98"/>
      <c r="S150" s="98"/>
      <c r="T150" s="98"/>
      <c r="U150" s="98"/>
      <c r="V150" s="98"/>
      <c r="W150" s="98"/>
      <c r="X150" s="98"/>
      <c r="Y150" s="98"/>
      <c r="Z150" s="98"/>
      <c r="AA150" s="98"/>
      <c r="AB150" s="98"/>
      <c r="AC150" s="98"/>
    </row>
    <row r="151">
      <c r="A151" s="98"/>
      <c r="B151" s="98"/>
      <c r="C151" s="98"/>
      <c r="D151" s="98"/>
      <c r="E151" s="121"/>
      <c r="F151" s="98"/>
      <c r="G151" s="98"/>
      <c r="H151" s="98"/>
      <c r="I151" s="98"/>
      <c r="J151" s="98"/>
      <c r="K151" s="98"/>
      <c r="L151" s="98"/>
      <c r="M151" s="98"/>
      <c r="N151" s="98"/>
      <c r="O151" s="98"/>
      <c r="P151" s="98"/>
      <c r="Q151" s="98"/>
      <c r="R151" s="98"/>
      <c r="S151" s="98"/>
      <c r="T151" s="98"/>
      <c r="U151" s="98"/>
      <c r="V151" s="98"/>
      <c r="W151" s="98"/>
      <c r="X151" s="98"/>
      <c r="Y151" s="98"/>
      <c r="Z151" s="98"/>
      <c r="AA151" s="98"/>
      <c r="AB151" s="98"/>
      <c r="AC151" s="98"/>
    </row>
    <row r="152">
      <c r="A152" s="98"/>
      <c r="B152" s="98"/>
      <c r="C152" s="98"/>
      <c r="D152" s="98"/>
      <c r="E152" s="121"/>
      <c r="F152" s="98"/>
      <c r="G152" s="98"/>
      <c r="H152" s="98"/>
      <c r="I152" s="98"/>
      <c r="J152" s="98"/>
      <c r="K152" s="98"/>
      <c r="L152" s="98"/>
      <c r="M152" s="98"/>
      <c r="N152" s="98"/>
      <c r="O152" s="98"/>
      <c r="P152" s="98"/>
      <c r="Q152" s="98"/>
      <c r="R152" s="98"/>
      <c r="S152" s="98"/>
      <c r="T152" s="98"/>
      <c r="U152" s="98"/>
      <c r="V152" s="98"/>
      <c r="W152" s="98"/>
      <c r="X152" s="98"/>
      <c r="Y152" s="98"/>
      <c r="Z152" s="98"/>
      <c r="AA152" s="98"/>
      <c r="AB152" s="98"/>
      <c r="AC152" s="98"/>
    </row>
    <row r="153">
      <c r="A153" s="98"/>
      <c r="B153" s="98"/>
      <c r="C153" s="98"/>
      <c r="D153" s="98"/>
      <c r="E153" s="121"/>
      <c r="F153" s="98"/>
      <c r="G153" s="98"/>
      <c r="H153" s="98"/>
      <c r="I153" s="98"/>
      <c r="J153" s="98"/>
      <c r="K153" s="98"/>
      <c r="L153" s="98"/>
      <c r="M153" s="98"/>
      <c r="N153" s="98"/>
      <c r="O153" s="98"/>
      <c r="P153" s="98"/>
      <c r="Q153" s="98"/>
      <c r="R153" s="98"/>
      <c r="S153" s="98"/>
      <c r="T153" s="98"/>
      <c r="U153" s="98"/>
      <c r="V153" s="98"/>
      <c r="W153" s="98"/>
      <c r="X153" s="98"/>
      <c r="Y153" s="98"/>
      <c r="Z153" s="98"/>
      <c r="AA153" s="98"/>
      <c r="AB153" s="98"/>
      <c r="AC153" s="98"/>
    </row>
    <row r="154">
      <c r="A154" s="98"/>
      <c r="B154" s="98"/>
      <c r="C154" s="98"/>
      <c r="D154" s="98"/>
      <c r="E154" s="121"/>
      <c r="F154" s="98"/>
      <c r="G154" s="98"/>
      <c r="H154" s="98"/>
      <c r="I154" s="98"/>
      <c r="J154" s="98"/>
      <c r="K154" s="98"/>
      <c r="L154" s="98"/>
      <c r="M154" s="98"/>
      <c r="N154" s="98"/>
      <c r="O154" s="98"/>
      <c r="P154" s="98"/>
      <c r="Q154" s="98"/>
      <c r="R154" s="98"/>
      <c r="S154" s="98"/>
      <c r="T154" s="98"/>
      <c r="U154" s="98"/>
      <c r="V154" s="98"/>
      <c r="W154" s="98"/>
      <c r="X154" s="98"/>
      <c r="Y154" s="98"/>
      <c r="Z154" s="98"/>
      <c r="AA154" s="98"/>
      <c r="AB154" s="98"/>
      <c r="AC154" s="98"/>
    </row>
    <row r="155">
      <c r="A155" s="98"/>
      <c r="B155" s="98"/>
      <c r="C155" s="98"/>
      <c r="D155" s="98"/>
      <c r="E155" s="121"/>
      <c r="F155" s="98"/>
      <c r="G155" s="98"/>
      <c r="H155" s="98"/>
      <c r="I155" s="98"/>
      <c r="J155" s="98"/>
      <c r="K155" s="98"/>
      <c r="L155" s="98"/>
      <c r="M155" s="98"/>
      <c r="N155" s="98"/>
      <c r="O155" s="98"/>
      <c r="P155" s="98"/>
      <c r="Q155" s="98"/>
      <c r="R155" s="98"/>
      <c r="S155" s="98"/>
      <c r="T155" s="98"/>
      <c r="U155" s="98"/>
      <c r="V155" s="98"/>
      <c r="W155" s="98"/>
      <c r="X155" s="98"/>
      <c r="Y155" s="98"/>
      <c r="Z155" s="98"/>
      <c r="AA155" s="98"/>
      <c r="AB155" s="98"/>
      <c r="AC155" s="98"/>
    </row>
    <row r="156">
      <c r="A156" s="98"/>
      <c r="B156" s="98"/>
      <c r="C156" s="98"/>
      <c r="D156" s="98"/>
      <c r="E156" s="121"/>
      <c r="F156" s="98"/>
      <c r="G156" s="98"/>
      <c r="H156" s="98"/>
      <c r="I156" s="98"/>
      <c r="J156" s="98"/>
      <c r="K156" s="98"/>
      <c r="L156" s="98"/>
      <c r="M156" s="98"/>
      <c r="N156" s="98"/>
      <c r="O156" s="98"/>
      <c r="P156" s="98"/>
      <c r="Q156" s="98"/>
      <c r="R156" s="98"/>
      <c r="S156" s="98"/>
      <c r="T156" s="98"/>
      <c r="U156" s="98"/>
      <c r="V156" s="98"/>
      <c r="W156" s="98"/>
      <c r="X156" s="98"/>
      <c r="Y156" s="98"/>
      <c r="Z156" s="98"/>
      <c r="AA156" s="98"/>
      <c r="AB156" s="98"/>
      <c r="AC156" s="98"/>
    </row>
    <row r="157">
      <c r="A157" s="98"/>
      <c r="B157" s="98"/>
      <c r="C157" s="98"/>
      <c r="D157" s="98"/>
      <c r="E157" s="121"/>
      <c r="F157" s="98"/>
      <c r="G157" s="98"/>
      <c r="H157" s="98"/>
      <c r="I157" s="98"/>
      <c r="J157" s="98"/>
      <c r="K157" s="98"/>
      <c r="L157" s="98"/>
      <c r="M157" s="98"/>
      <c r="N157" s="98"/>
      <c r="O157" s="98"/>
      <c r="P157" s="98"/>
      <c r="Q157" s="98"/>
      <c r="R157" s="98"/>
      <c r="S157" s="98"/>
      <c r="T157" s="98"/>
      <c r="U157" s="98"/>
      <c r="V157" s="98"/>
      <c r="W157" s="98"/>
      <c r="X157" s="98"/>
      <c r="Y157" s="98"/>
      <c r="Z157" s="98"/>
      <c r="AA157" s="98"/>
      <c r="AB157" s="98"/>
      <c r="AC157" s="98"/>
    </row>
    <row r="158">
      <c r="A158" s="98"/>
      <c r="B158" s="98"/>
      <c r="C158" s="98"/>
      <c r="D158" s="98"/>
      <c r="E158" s="121"/>
      <c r="F158" s="98"/>
      <c r="G158" s="98"/>
      <c r="H158" s="98"/>
      <c r="I158" s="98"/>
      <c r="J158" s="98"/>
      <c r="K158" s="98"/>
      <c r="L158" s="98"/>
      <c r="M158" s="98"/>
      <c r="N158" s="98"/>
      <c r="O158" s="98"/>
      <c r="P158" s="98"/>
      <c r="Q158" s="98"/>
      <c r="R158" s="98"/>
      <c r="S158" s="98"/>
      <c r="T158" s="98"/>
      <c r="U158" s="98"/>
      <c r="V158" s="98"/>
      <c r="W158" s="98"/>
      <c r="X158" s="98"/>
      <c r="Y158" s="98"/>
      <c r="Z158" s="98"/>
      <c r="AA158" s="98"/>
      <c r="AB158" s="98"/>
      <c r="AC158" s="98"/>
    </row>
    <row r="159">
      <c r="A159" s="98"/>
      <c r="B159" s="98"/>
      <c r="C159" s="98"/>
      <c r="D159" s="98"/>
      <c r="E159" s="121"/>
      <c r="F159" s="98"/>
      <c r="G159" s="98"/>
      <c r="H159" s="98"/>
      <c r="I159" s="98"/>
      <c r="J159" s="98"/>
      <c r="K159" s="98"/>
      <c r="L159" s="98"/>
      <c r="M159" s="98"/>
      <c r="N159" s="98"/>
      <c r="O159" s="98"/>
      <c r="P159" s="98"/>
      <c r="Q159" s="98"/>
      <c r="R159" s="98"/>
      <c r="S159" s="98"/>
      <c r="T159" s="98"/>
      <c r="U159" s="98"/>
      <c r="V159" s="98"/>
      <c r="W159" s="98"/>
      <c r="X159" s="98"/>
      <c r="Y159" s="98"/>
      <c r="Z159" s="98"/>
      <c r="AA159" s="98"/>
      <c r="AB159" s="98"/>
      <c r="AC159" s="98"/>
    </row>
    <row r="160">
      <c r="A160" s="98"/>
      <c r="B160" s="98"/>
      <c r="C160" s="98"/>
      <c r="D160" s="98"/>
      <c r="E160" s="121"/>
      <c r="F160" s="98"/>
      <c r="G160" s="98"/>
      <c r="H160" s="98"/>
      <c r="I160" s="98"/>
      <c r="J160" s="98"/>
      <c r="K160" s="98"/>
      <c r="L160" s="98"/>
      <c r="M160" s="98"/>
      <c r="N160" s="98"/>
      <c r="O160" s="98"/>
      <c r="P160" s="98"/>
      <c r="Q160" s="98"/>
      <c r="R160" s="98"/>
      <c r="S160" s="98"/>
      <c r="T160" s="98"/>
      <c r="U160" s="98"/>
      <c r="V160" s="98"/>
      <c r="W160" s="98"/>
      <c r="X160" s="98"/>
      <c r="Y160" s="98"/>
      <c r="Z160" s="98"/>
      <c r="AA160" s="98"/>
      <c r="AB160" s="98"/>
      <c r="AC160" s="98"/>
    </row>
    <row r="161">
      <c r="A161" s="98"/>
      <c r="B161" s="98"/>
      <c r="C161" s="98"/>
      <c r="D161" s="98"/>
      <c r="E161" s="121"/>
      <c r="F161" s="98"/>
      <c r="G161" s="98"/>
      <c r="H161" s="98"/>
      <c r="I161" s="98"/>
      <c r="J161" s="98"/>
      <c r="K161" s="98"/>
      <c r="L161" s="98"/>
      <c r="M161" s="98"/>
      <c r="N161" s="98"/>
      <c r="O161" s="98"/>
      <c r="P161" s="98"/>
      <c r="Q161" s="98"/>
      <c r="R161" s="98"/>
      <c r="S161" s="98"/>
      <c r="T161" s="98"/>
      <c r="U161" s="98"/>
      <c r="V161" s="98"/>
      <c r="W161" s="98"/>
      <c r="X161" s="98"/>
      <c r="Y161" s="98"/>
      <c r="Z161" s="98"/>
      <c r="AA161" s="98"/>
      <c r="AB161" s="98"/>
      <c r="AC161" s="98"/>
    </row>
    <row r="162">
      <c r="A162" s="98"/>
      <c r="B162" s="98"/>
      <c r="C162" s="98"/>
      <c r="D162" s="98"/>
      <c r="E162" s="121"/>
      <c r="F162" s="98"/>
      <c r="G162" s="98"/>
      <c r="H162" s="98"/>
      <c r="I162" s="98"/>
      <c r="J162" s="98"/>
      <c r="K162" s="98"/>
      <c r="L162" s="98"/>
      <c r="M162" s="98"/>
      <c r="N162" s="98"/>
      <c r="O162" s="98"/>
      <c r="P162" s="98"/>
      <c r="Q162" s="98"/>
      <c r="R162" s="98"/>
      <c r="S162" s="98"/>
      <c r="T162" s="98"/>
      <c r="U162" s="98"/>
      <c r="V162" s="98"/>
      <c r="W162" s="98"/>
      <c r="X162" s="98"/>
      <c r="Y162" s="98"/>
      <c r="Z162" s="98"/>
      <c r="AA162" s="98"/>
      <c r="AB162" s="98"/>
      <c r="AC162" s="98"/>
    </row>
    <row r="163">
      <c r="A163" s="98"/>
      <c r="B163" s="98"/>
      <c r="C163" s="98"/>
      <c r="D163" s="98"/>
      <c r="E163" s="121"/>
      <c r="F163" s="98"/>
      <c r="G163" s="98"/>
      <c r="H163" s="98"/>
      <c r="I163" s="98"/>
      <c r="J163" s="98"/>
      <c r="K163" s="98"/>
      <c r="L163" s="98"/>
      <c r="M163" s="98"/>
      <c r="N163" s="98"/>
      <c r="O163" s="98"/>
      <c r="P163" s="98"/>
      <c r="Q163" s="98"/>
      <c r="R163" s="98"/>
      <c r="S163" s="98"/>
      <c r="T163" s="98"/>
      <c r="U163" s="98"/>
      <c r="V163" s="98"/>
      <c r="W163" s="98"/>
      <c r="X163" s="98"/>
      <c r="Y163" s="98"/>
      <c r="Z163" s="98"/>
      <c r="AA163" s="98"/>
      <c r="AB163" s="98"/>
      <c r="AC163" s="98"/>
    </row>
    <row r="164">
      <c r="A164" s="98"/>
      <c r="B164" s="98"/>
      <c r="C164" s="98"/>
      <c r="D164" s="98"/>
      <c r="E164" s="121"/>
      <c r="F164" s="98"/>
      <c r="G164" s="98"/>
      <c r="H164" s="98"/>
      <c r="I164" s="98"/>
      <c r="J164" s="98"/>
      <c r="K164" s="98"/>
      <c r="L164" s="98"/>
      <c r="M164" s="98"/>
      <c r="N164" s="98"/>
      <c r="O164" s="98"/>
      <c r="P164" s="98"/>
      <c r="Q164" s="98"/>
      <c r="R164" s="98"/>
      <c r="S164" s="98"/>
      <c r="T164" s="98"/>
      <c r="U164" s="98"/>
      <c r="V164" s="98"/>
      <c r="W164" s="98"/>
      <c r="X164" s="98"/>
      <c r="Y164" s="98"/>
      <c r="Z164" s="98"/>
      <c r="AA164" s="98"/>
      <c r="AB164" s="98"/>
      <c r="AC164" s="98"/>
    </row>
    <row r="165">
      <c r="A165" s="98"/>
      <c r="B165" s="98"/>
      <c r="C165" s="98"/>
      <c r="D165" s="98"/>
      <c r="E165" s="121"/>
      <c r="F165" s="98"/>
      <c r="G165" s="98"/>
      <c r="H165" s="98"/>
      <c r="I165" s="98"/>
      <c r="J165" s="98"/>
      <c r="K165" s="98"/>
      <c r="L165" s="98"/>
      <c r="M165" s="98"/>
      <c r="N165" s="98"/>
      <c r="O165" s="98"/>
      <c r="P165" s="98"/>
      <c r="Q165" s="98"/>
      <c r="R165" s="98"/>
      <c r="S165" s="98"/>
      <c r="T165" s="98"/>
      <c r="U165" s="98"/>
      <c r="V165" s="98"/>
      <c r="W165" s="98"/>
      <c r="X165" s="98"/>
      <c r="Y165" s="98"/>
      <c r="Z165" s="98"/>
      <c r="AA165" s="98"/>
      <c r="AB165" s="98"/>
      <c r="AC165" s="98"/>
    </row>
    <row r="166">
      <c r="A166" s="98"/>
      <c r="B166" s="98"/>
      <c r="C166" s="98"/>
      <c r="D166" s="98"/>
      <c r="E166" s="121"/>
      <c r="F166" s="98"/>
      <c r="G166" s="98"/>
      <c r="H166" s="98"/>
      <c r="I166" s="98"/>
      <c r="J166" s="98"/>
      <c r="K166" s="98"/>
      <c r="L166" s="98"/>
      <c r="M166" s="98"/>
      <c r="N166" s="98"/>
      <c r="O166" s="98"/>
      <c r="P166" s="98"/>
      <c r="Q166" s="98"/>
      <c r="R166" s="98"/>
      <c r="S166" s="98"/>
      <c r="T166" s="98"/>
      <c r="U166" s="98"/>
      <c r="V166" s="98"/>
      <c r="W166" s="98"/>
      <c r="X166" s="98"/>
      <c r="Y166" s="98"/>
      <c r="Z166" s="98"/>
      <c r="AA166" s="98"/>
      <c r="AB166" s="98"/>
      <c r="AC166" s="98"/>
    </row>
    <row r="167">
      <c r="A167" s="98"/>
      <c r="B167" s="98"/>
      <c r="C167" s="98"/>
      <c r="D167" s="98"/>
      <c r="E167" s="121"/>
      <c r="F167" s="98"/>
      <c r="G167" s="98"/>
      <c r="H167" s="98"/>
      <c r="I167" s="98"/>
      <c r="J167" s="98"/>
      <c r="K167" s="98"/>
      <c r="L167" s="98"/>
      <c r="M167" s="98"/>
      <c r="N167" s="98"/>
      <c r="O167" s="98"/>
      <c r="P167" s="98"/>
      <c r="Q167" s="98"/>
      <c r="R167" s="98"/>
      <c r="S167" s="98"/>
      <c r="T167" s="98"/>
      <c r="U167" s="98"/>
      <c r="V167" s="98"/>
      <c r="W167" s="98"/>
      <c r="X167" s="98"/>
      <c r="Y167" s="98"/>
      <c r="Z167" s="98"/>
      <c r="AA167" s="98"/>
      <c r="AB167" s="98"/>
      <c r="AC167" s="98"/>
    </row>
    <row r="168">
      <c r="A168" s="98"/>
      <c r="B168" s="98"/>
      <c r="C168" s="98"/>
      <c r="D168" s="98"/>
      <c r="E168" s="121"/>
      <c r="F168" s="98"/>
      <c r="G168" s="98"/>
      <c r="H168" s="98"/>
      <c r="I168" s="98"/>
      <c r="J168" s="98"/>
      <c r="K168" s="98"/>
      <c r="L168" s="98"/>
      <c r="M168" s="98"/>
      <c r="N168" s="98"/>
      <c r="O168" s="98"/>
      <c r="P168" s="98"/>
      <c r="Q168" s="98"/>
      <c r="R168" s="98"/>
      <c r="S168" s="98"/>
      <c r="T168" s="98"/>
      <c r="U168" s="98"/>
      <c r="V168" s="98"/>
      <c r="W168" s="98"/>
      <c r="X168" s="98"/>
      <c r="Y168" s="98"/>
      <c r="Z168" s="98"/>
      <c r="AA168" s="98"/>
      <c r="AB168" s="98"/>
      <c r="AC168" s="98"/>
    </row>
    <row r="169">
      <c r="A169" s="98"/>
      <c r="B169" s="98"/>
      <c r="C169" s="98"/>
      <c r="D169" s="98"/>
      <c r="E169" s="121"/>
      <c r="F169" s="98"/>
      <c r="G169" s="98"/>
      <c r="H169" s="98"/>
      <c r="I169" s="98"/>
      <c r="J169" s="98"/>
      <c r="K169" s="98"/>
      <c r="L169" s="98"/>
      <c r="M169" s="98"/>
      <c r="N169" s="98"/>
      <c r="O169" s="98"/>
      <c r="P169" s="98"/>
      <c r="Q169" s="98"/>
      <c r="R169" s="98"/>
      <c r="S169" s="98"/>
      <c r="T169" s="98"/>
      <c r="U169" s="98"/>
      <c r="V169" s="98"/>
      <c r="W169" s="98"/>
      <c r="X169" s="98"/>
      <c r="Y169" s="98"/>
      <c r="Z169" s="98"/>
      <c r="AA169" s="98"/>
      <c r="AB169" s="98"/>
      <c r="AC169" s="98"/>
    </row>
    <row r="170">
      <c r="A170" s="98"/>
      <c r="B170" s="98"/>
      <c r="C170" s="98"/>
      <c r="D170" s="98"/>
      <c r="E170" s="121"/>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row>
    <row r="171">
      <c r="A171" s="98"/>
      <c r="B171" s="98"/>
      <c r="C171" s="98"/>
      <c r="D171" s="98"/>
      <c r="E171" s="121"/>
      <c r="F171" s="98"/>
      <c r="G171" s="98"/>
      <c r="H171" s="98"/>
      <c r="I171" s="98"/>
      <c r="J171" s="98"/>
      <c r="K171" s="98"/>
      <c r="L171" s="98"/>
      <c r="M171" s="98"/>
      <c r="N171" s="98"/>
      <c r="O171" s="98"/>
      <c r="P171" s="98"/>
      <c r="Q171" s="98"/>
      <c r="R171" s="98"/>
      <c r="S171" s="98"/>
      <c r="T171" s="98"/>
      <c r="U171" s="98"/>
      <c r="V171" s="98"/>
      <c r="W171" s="98"/>
      <c r="X171" s="98"/>
      <c r="Y171" s="98"/>
      <c r="Z171" s="98"/>
      <c r="AA171" s="98"/>
      <c r="AB171" s="98"/>
      <c r="AC171" s="98"/>
    </row>
    <row r="172">
      <c r="A172" s="98"/>
      <c r="B172" s="98"/>
      <c r="C172" s="98"/>
      <c r="D172" s="98"/>
      <c r="E172" s="121"/>
      <c r="F172" s="98"/>
      <c r="G172" s="98"/>
      <c r="H172" s="98"/>
      <c r="I172" s="98"/>
      <c r="J172" s="98"/>
      <c r="K172" s="98"/>
      <c r="L172" s="98"/>
      <c r="M172" s="98"/>
      <c r="N172" s="98"/>
      <c r="O172" s="98"/>
      <c r="P172" s="98"/>
      <c r="Q172" s="98"/>
      <c r="R172" s="98"/>
      <c r="S172" s="98"/>
      <c r="T172" s="98"/>
      <c r="U172" s="98"/>
      <c r="V172" s="98"/>
      <c r="W172" s="98"/>
      <c r="X172" s="98"/>
      <c r="Y172" s="98"/>
      <c r="Z172" s="98"/>
      <c r="AA172" s="98"/>
      <c r="AB172" s="98"/>
      <c r="AC172" s="98"/>
    </row>
    <row r="173">
      <c r="A173" s="98"/>
      <c r="B173" s="98"/>
      <c r="C173" s="98"/>
      <c r="D173" s="98"/>
      <c r="E173" s="121"/>
      <c r="F173" s="98"/>
      <c r="G173" s="98"/>
      <c r="H173" s="98"/>
      <c r="I173" s="98"/>
      <c r="J173" s="98"/>
      <c r="K173" s="98"/>
      <c r="L173" s="98"/>
      <c r="M173" s="98"/>
      <c r="N173" s="98"/>
      <c r="O173" s="98"/>
      <c r="P173" s="98"/>
      <c r="Q173" s="98"/>
      <c r="R173" s="98"/>
      <c r="S173" s="98"/>
      <c r="T173" s="98"/>
      <c r="U173" s="98"/>
      <c r="V173" s="98"/>
      <c r="W173" s="98"/>
      <c r="X173" s="98"/>
      <c r="Y173" s="98"/>
      <c r="Z173" s="98"/>
      <c r="AA173" s="98"/>
      <c r="AB173" s="98"/>
      <c r="AC173" s="98"/>
    </row>
    <row r="174">
      <c r="A174" s="98"/>
      <c r="B174" s="98"/>
      <c r="C174" s="98"/>
      <c r="D174" s="98"/>
      <c r="E174" s="121"/>
      <c r="F174" s="98"/>
      <c r="G174" s="98"/>
      <c r="H174" s="98"/>
      <c r="I174" s="98"/>
      <c r="J174" s="98"/>
      <c r="K174" s="98"/>
      <c r="L174" s="98"/>
      <c r="M174" s="98"/>
      <c r="N174" s="98"/>
      <c r="O174" s="98"/>
      <c r="P174" s="98"/>
      <c r="Q174" s="98"/>
      <c r="R174" s="98"/>
      <c r="S174" s="98"/>
      <c r="T174" s="98"/>
      <c r="U174" s="98"/>
      <c r="V174" s="98"/>
      <c r="W174" s="98"/>
      <c r="X174" s="98"/>
      <c r="Y174" s="98"/>
      <c r="Z174" s="98"/>
      <c r="AA174" s="98"/>
      <c r="AB174" s="98"/>
      <c r="AC174" s="98"/>
    </row>
    <row r="175">
      <c r="A175" s="98"/>
      <c r="B175" s="98"/>
      <c r="C175" s="98"/>
      <c r="D175" s="98"/>
      <c r="E175" s="121"/>
      <c r="F175" s="98"/>
      <c r="G175" s="98"/>
      <c r="H175" s="98"/>
      <c r="I175" s="98"/>
      <c r="J175" s="98"/>
      <c r="K175" s="98"/>
      <c r="L175" s="98"/>
      <c r="M175" s="98"/>
      <c r="N175" s="98"/>
      <c r="O175" s="98"/>
      <c r="P175" s="98"/>
      <c r="Q175" s="98"/>
      <c r="R175" s="98"/>
      <c r="S175" s="98"/>
      <c r="T175" s="98"/>
      <c r="U175" s="98"/>
      <c r="V175" s="98"/>
      <c r="W175" s="98"/>
      <c r="X175" s="98"/>
      <c r="Y175" s="98"/>
      <c r="Z175" s="98"/>
      <c r="AA175" s="98"/>
      <c r="AB175" s="98"/>
      <c r="AC175" s="98"/>
    </row>
    <row r="176">
      <c r="A176" s="98"/>
      <c r="B176" s="98"/>
      <c r="C176" s="98"/>
      <c r="D176" s="98"/>
      <c r="E176" s="121"/>
      <c r="F176" s="98"/>
      <c r="G176" s="98"/>
      <c r="H176" s="98"/>
      <c r="I176" s="98"/>
      <c r="J176" s="98"/>
      <c r="K176" s="98"/>
      <c r="L176" s="98"/>
      <c r="M176" s="98"/>
      <c r="N176" s="98"/>
      <c r="O176" s="98"/>
      <c r="P176" s="98"/>
      <c r="Q176" s="98"/>
      <c r="R176" s="98"/>
      <c r="S176" s="98"/>
      <c r="T176" s="98"/>
      <c r="U176" s="98"/>
      <c r="V176" s="98"/>
      <c r="W176" s="98"/>
      <c r="X176" s="98"/>
      <c r="Y176" s="98"/>
      <c r="Z176" s="98"/>
      <c r="AA176" s="98"/>
      <c r="AB176" s="98"/>
      <c r="AC176" s="98"/>
    </row>
    <row r="177">
      <c r="A177" s="98"/>
      <c r="B177" s="98"/>
      <c r="C177" s="98"/>
      <c r="D177" s="98"/>
      <c r="E177" s="121"/>
      <c r="F177" s="98"/>
      <c r="G177" s="98"/>
      <c r="H177" s="98"/>
      <c r="I177" s="98"/>
      <c r="J177" s="98"/>
      <c r="K177" s="98"/>
      <c r="L177" s="98"/>
      <c r="M177" s="98"/>
      <c r="N177" s="98"/>
      <c r="O177" s="98"/>
      <c r="P177" s="98"/>
      <c r="Q177" s="98"/>
      <c r="R177" s="98"/>
      <c r="S177" s="98"/>
      <c r="T177" s="98"/>
      <c r="U177" s="98"/>
      <c r="V177" s="98"/>
      <c r="W177" s="98"/>
      <c r="X177" s="98"/>
      <c r="Y177" s="98"/>
      <c r="Z177" s="98"/>
      <c r="AA177" s="98"/>
      <c r="AB177" s="98"/>
      <c r="AC177" s="98"/>
    </row>
    <row r="178">
      <c r="A178" s="98"/>
      <c r="B178" s="98"/>
      <c r="C178" s="98"/>
      <c r="D178" s="98"/>
      <c r="E178" s="121"/>
      <c r="F178" s="98"/>
      <c r="G178" s="98"/>
      <c r="H178" s="98"/>
      <c r="I178" s="98"/>
      <c r="J178" s="98"/>
      <c r="K178" s="98"/>
      <c r="L178" s="98"/>
      <c r="M178" s="98"/>
      <c r="N178" s="98"/>
      <c r="O178" s="98"/>
      <c r="P178" s="98"/>
      <c r="Q178" s="98"/>
      <c r="R178" s="98"/>
      <c r="S178" s="98"/>
      <c r="T178" s="98"/>
      <c r="U178" s="98"/>
      <c r="V178" s="98"/>
      <c r="W178" s="98"/>
      <c r="X178" s="98"/>
      <c r="Y178" s="98"/>
      <c r="Z178" s="98"/>
      <c r="AA178" s="98"/>
      <c r="AB178" s="98"/>
      <c r="AC178" s="98"/>
    </row>
    <row r="179">
      <c r="A179" s="98"/>
      <c r="B179" s="98"/>
      <c r="C179" s="98"/>
      <c r="D179" s="98"/>
      <c r="E179" s="121"/>
      <c r="F179" s="98"/>
      <c r="G179" s="98"/>
      <c r="H179" s="98"/>
      <c r="I179" s="98"/>
      <c r="J179" s="98"/>
      <c r="K179" s="98"/>
      <c r="L179" s="98"/>
      <c r="M179" s="98"/>
      <c r="N179" s="98"/>
      <c r="O179" s="98"/>
      <c r="P179" s="98"/>
      <c r="Q179" s="98"/>
      <c r="R179" s="98"/>
      <c r="S179" s="98"/>
      <c r="T179" s="98"/>
      <c r="U179" s="98"/>
      <c r="V179" s="98"/>
      <c r="W179" s="98"/>
      <c r="X179" s="98"/>
      <c r="Y179" s="98"/>
      <c r="Z179" s="98"/>
      <c r="AA179" s="98"/>
      <c r="AB179" s="98"/>
      <c r="AC179" s="98"/>
    </row>
    <row r="180">
      <c r="A180" s="98"/>
      <c r="B180" s="98"/>
      <c r="C180" s="98"/>
      <c r="D180" s="98"/>
      <c r="E180" s="121"/>
      <c r="F180" s="98"/>
      <c r="G180" s="98"/>
      <c r="H180" s="98"/>
      <c r="I180" s="98"/>
      <c r="J180" s="98"/>
      <c r="K180" s="98"/>
      <c r="L180" s="98"/>
      <c r="M180" s="98"/>
      <c r="N180" s="98"/>
      <c r="O180" s="98"/>
      <c r="P180" s="98"/>
      <c r="Q180" s="98"/>
      <c r="R180" s="98"/>
      <c r="S180" s="98"/>
      <c r="T180" s="98"/>
      <c r="U180" s="98"/>
      <c r="V180" s="98"/>
      <c r="W180" s="98"/>
      <c r="X180" s="98"/>
      <c r="Y180" s="98"/>
      <c r="Z180" s="98"/>
      <c r="AA180" s="98"/>
      <c r="AB180" s="98"/>
      <c r="AC180" s="98"/>
    </row>
    <row r="181">
      <c r="A181" s="98"/>
      <c r="B181" s="98"/>
      <c r="C181" s="98"/>
      <c r="D181" s="98"/>
      <c r="E181" s="121"/>
      <c r="F181" s="98"/>
      <c r="G181" s="98"/>
      <c r="H181" s="98"/>
      <c r="I181" s="98"/>
      <c r="J181" s="98"/>
      <c r="K181" s="98"/>
      <c r="L181" s="98"/>
      <c r="M181" s="98"/>
      <c r="N181" s="98"/>
      <c r="O181" s="98"/>
      <c r="P181" s="98"/>
      <c r="Q181" s="98"/>
      <c r="R181" s="98"/>
      <c r="S181" s="98"/>
      <c r="T181" s="98"/>
      <c r="U181" s="98"/>
      <c r="V181" s="98"/>
      <c r="W181" s="98"/>
      <c r="X181" s="98"/>
      <c r="Y181" s="98"/>
      <c r="Z181" s="98"/>
      <c r="AA181" s="98"/>
      <c r="AB181" s="98"/>
      <c r="AC181" s="98"/>
    </row>
    <row r="182">
      <c r="A182" s="98"/>
      <c r="B182" s="98"/>
      <c r="C182" s="98"/>
      <c r="D182" s="98"/>
      <c r="E182" s="121"/>
      <c r="F182" s="98"/>
      <c r="G182" s="98"/>
      <c r="H182" s="98"/>
      <c r="I182" s="98"/>
      <c r="J182" s="98"/>
      <c r="K182" s="98"/>
      <c r="L182" s="98"/>
      <c r="M182" s="98"/>
      <c r="N182" s="98"/>
      <c r="O182" s="98"/>
      <c r="P182" s="98"/>
      <c r="Q182" s="98"/>
      <c r="R182" s="98"/>
      <c r="S182" s="98"/>
      <c r="T182" s="98"/>
      <c r="U182" s="98"/>
      <c r="V182" s="98"/>
      <c r="W182" s="98"/>
      <c r="X182" s="98"/>
      <c r="Y182" s="98"/>
      <c r="Z182" s="98"/>
      <c r="AA182" s="98"/>
      <c r="AB182" s="98"/>
      <c r="AC182" s="98"/>
    </row>
    <row r="183">
      <c r="A183" s="98"/>
      <c r="B183" s="98"/>
      <c r="C183" s="98"/>
      <c r="D183" s="98"/>
      <c r="E183" s="121"/>
      <c r="F183" s="98"/>
      <c r="G183" s="98"/>
      <c r="H183" s="98"/>
      <c r="I183" s="98"/>
      <c r="J183" s="98"/>
      <c r="K183" s="98"/>
      <c r="L183" s="98"/>
      <c r="M183" s="98"/>
      <c r="N183" s="98"/>
      <c r="O183" s="98"/>
      <c r="P183" s="98"/>
      <c r="Q183" s="98"/>
      <c r="R183" s="98"/>
      <c r="S183" s="98"/>
      <c r="T183" s="98"/>
      <c r="U183" s="98"/>
      <c r="V183" s="98"/>
      <c r="W183" s="98"/>
      <c r="X183" s="98"/>
      <c r="Y183" s="98"/>
      <c r="Z183" s="98"/>
      <c r="AA183" s="98"/>
      <c r="AB183" s="98"/>
      <c r="AC183" s="98"/>
    </row>
    <row r="184">
      <c r="A184" s="98"/>
      <c r="B184" s="98"/>
      <c r="C184" s="98"/>
      <c r="D184" s="98"/>
      <c r="E184" s="121"/>
      <c r="F184" s="98"/>
      <c r="G184" s="98"/>
      <c r="H184" s="98"/>
      <c r="I184" s="98"/>
      <c r="J184" s="98"/>
      <c r="K184" s="98"/>
      <c r="L184" s="98"/>
      <c r="M184" s="98"/>
      <c r="N184" s="98"/>
      <c r="O184" s="98"/>
      <c r="P184" s="98"/>
      <c r="Q184" s="98"/>
      <c r="R184" s="98"/>
      <c r="S184" s="98"/>
      <c r="T184" s="98"/>
      <c r="U184" s="98"/>
      <c r="V184" s="98"/>
      <c r="W184" s="98"/>
      <c r="X184" s="98"/>
      <c r="Y184" s="98"/>
      <c r="Z184" s="98"/>
      <c r="AA184" s="98"/>
      <c r="AB184" s="98"/>
      <c r="AC184" s="98"/>
    </row>
    <row r="185">
      <c r="A185" s="98"/>
      <c r="B185" s="98"/>
      <c r="C185" s="98"/>
      <c r="D185" s="98"/>
      <c r="E185" s="121"/>
      <c r="F185" s="98"/>
      <c r="G185" s="98"/>
      <c r="H185" s="98"/>
      <c r="I185" s="98"/>
      <c r="J185" s="98"/>
      <c r="K185" s="98"/>
      <c r="L185" s="98"/>
      <c r="M185" s="98"/>
      <c r="N185" s="98"/>
      <c r="O185" s="98"/>
      <c r="P185" s="98"/>
      <c r="Q185" s="98"/>
      <c r="R185" s="98"/>
      <c r="S185" s="98"/>
      <c r="T185" s="98"/>
      <c r="U185" s="98"/>
      <c r="V185" s="98"/>
      <c r="W185" s="98"/>
      <c r="X185" s="98"/>
      <c r="Y185" s="98"/>
      <c r="Z185" s="98"/>
      <c r="AA185" s="98"/>
      <c r="AB185" s="98"/>
      <c r="AC185" s="98"/>
    </row>
    <row r="186">
      <c r="A186" s="98"/>
      <c r="B186" s="98"/>
      <c r="C186" s="98"/>
      <c r="D186" s="98"/>
      <c r="E186" s="121"/>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row>
    <row r="187">
      <c r="A187" s="98"/>
      <c r="B187" s="98"/>
      <c r="C187" s="98"/>
      <c r="D187" s="98"/>
      <c r="E187" s="121"/>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row>
    <row r="188">
      <c r="A188" s="98"/>
      <c r="B188" s="98"/>
      <c r="C188" s="98"/>
      <c r="D188" s="98"/>
      <c r="E188" s="121"/>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row>
    <row r="189">
      <c r="A189" s="98"/>
      <c r="B189" s="98"/>
      <c r="C189" s="98"/>
      <c r="D189" s="98"/>
      <c r="E189" s="121"/>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row>
    <row r="190">
      <c r="A190" s="98"/>
      <c r="B190" s="98"/>
      <c r="C190" s="98"/>
      <c r="D190" s="98"/>
      <c r="E190" s="121"/>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row>
    <row r="191">
      <c r="A191" s="98"/>
      <c r="B191" s="98"/>
      <c r="C191" s="98"/>
      <c r="D191" s="98"/>
      <c r="E191" s="121"/>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row>
    <row r="192">
      <c r="A192" s="98"/>
      <c r="B192" s="98"/>
      <c r="C192" s="98"/>
      <c r="D192" s="98"/>
      <c r="E192" s="121"/>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row>
    <row r="193">
      <c r="A193" s="98"/>
      <c r="B193" s="98"/>
      <c r="C193" s="98"/>
      <c r="D193" s="98"/>
      <c r="E193" s="121"/>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row>
    <row r="194">
      <c r="A194" s="98"/>
      <c r="B194" s="98"/>
      <c r="C194" s="98"/>
      <c r="D194" s="98"/>
      <c r="E194" s="121"/>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row>
    <row r="195">
      <c r="A195" s="98"/>
      <c r="B195" s="98"/>
      <c r="C195" s="98"/>
      <c r="D195" s="98"/>
      <c r="E195" s="121"/>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row>
    <row r="196">
      <c r="A196" s="98"/>
      <c r="B196" s="98"/>
      <c r="C196" s="98"/>
      <c r="D196" s="98"/>
      <c r="E196" s="121"/>
      <c r="F196" s="98"/>
      <c r="G196" s="98"/>
      <c r="H196" s="98"/>
      <c r="I196" s="98"/>
      <c r="J196" s="98"/>
      <c r="K196" s="98"/>
      <c r="L196" s="98"/>
      <c r="M196" s="98"/>
      <c r="N196" s="98"/>
      <c r="O196" s="98"/>
      <c r="P196" s="98"/>
      <c r="Q196" s="98"/>
      <c r="R196" s="98"/>
      <c r="S196" s="98"/>
      <c r="T196" s="98"/>
      <c r="U196" s="98"/>
      <c r="V196" s="98"/>
      <c r="W196" s="98"/>
      <c r="X196" s="98"/>
      <c r="Y196" s="98"/>
      <c r="Z196" s="98"/>
      <c r="AA196" s="98"/>
      <c r="AB196" s="98"/>
      <c r="AC196" s="98"/>
    </row>
    <row r="197">
      <c r="A197" s="98"/>
      <c r="B197" s="98"/>
      <c r="C197" s="98"/>
      <c r="D197" s="98"/>
      <c r="E197" s="121"/>
      <c r="F197" s="98"/>
      <c r="G197" s="98"/>
      <c r="H197" s="98"/>
      <c r="I197" s="98"/>
      <c r="J197" s="98"/>
      <c r="K197" s="98"/>
      <c r="L197" s="98"/>
      <c r="M197" s="98"/>
      <c r="N197" s="98"/>
      <c r="O197" s="98"/>
      <c r="P197" s="98"/>
      <c r="Q197" s="98"/>
      <c r="R197" s="98"/>
      <c r="S197" s="98"/>
      <c r="T197" s="98"/>
      <c r="U197" s="98"/>
      <c r="V197" s="98"/>
      <c r="W197" s="98"/>
      <c r="X197" s="98"/>
      <c r="Y197" s="98"/>
      <c r="Z197" s="98"/>
      <c r="AA197" s="98"/>
      <c r="AB197" s="98"/>
      <c r="AC197" s="98"/>
    </row>
    <row r="198">
      <c r="A198" s="98"/>
      <c r="B198" s="98"/>
      <c r="C198" s="98"/>
      <c r="D198" s="98"/>
      <c r="E198" s="121"/>
      <c r="F198" s="98"/>
      <c r="G198" s="98"/>
      <c r="H198" s="98"/>
      <c r="I198" s="98"/>
      <c r="J198" s="98"/>
      <c r="K198" s="98"/>
      <c r="L198" s="98"/>
      <c r="M198" s="98"/>
      <c r="N198" s="98"/>
      <c r="O198" s="98"/>
      <c r="P198" s="98"/>
      <c r="Q198" s="98"/>
      <c r="R198" s="98"/>
      <c r="S198" s="98"/>
      <c r="T198" s="98"/>
      <c r="U198" s="98"/>
      <c r="V198" s="98"/>
      <c r="W198" s="98"/>
      <c r="X198" s="98"/>
      <c r="Y198" s="98"/>
      <c r="Z198" s="98"/>
      <c r="AA198" s="98"/>
      <c r="AB198" s="98"/>
      <c r="AC198" s="98"/>
    </row>
    <row r="199">
      <c r="A199" s="98"/>
      <c r="B199" s="98"/>
      <c r="C199" s="98"/>
      <c r="D199" s="98"/>
      <c r="E199" s="121"/>
      <c r="F199" s="98"/>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row>
    <row r="200">
      <c r="A200" s="98"/>
      <c r="B200" s="98"/>
      <c r="C200" s="98"/>
      <c r="D200" s="98"/>
      <c r="E200" s="121"/>
      <c r="F200" s="98"/>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row>
    <row r="201">
      <c r="A201" s="98"/>
      <c r="B201" s="98"/>
      <c r="C201" s="98"/>
      <c r="D201" s="98"/>
      <c r="E201" s="121"/>
      <c r="F201" s="98"/>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row>
    <row r="202">
      <c r="A202" s="98"/>
      <c r="B202" s="98"/>
      <c r="C202" s="98"/>
      <c r="D202" s="98"/>
      <c r="E202" s="121"/>
      <c r="F202" s="98"/>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row>
    <row r="203">
      <c r="A203" s="98"/>
      <c r="B203" s="98"/>
      <c r="C203" s="98"/>
      <c r="D203" s="98"/>
      <c r="E203" s="121"/>
      <c r="F203" s="98"/>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row>
    <row r="204">
      <c r="A204" s="98"/>
      <c r="B204" s="98"/>
      <c r="C204" s="98"/>
      <c r="D204" s="98"/>
      <c r="E204" s="121"/>
      <c r="F204" s="98"/>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row>
    <row r="205">
      <c r="A205" s="98"/>
      <c r="B205" s="98"/>
      <c r="C205" s="98"/>
      <c r="D205" s="98"/>
      <c r="E205" s="121"/>
      <c r="F205" s="98"/>
      <c r="G205" s="98"/>
      <c r="H205" s="98"/>
      <c r="I205" s="98"/>
      <c r="J205" s="98"/>
      <c r="K205" s="98"/>
      <c r="L205" s="98"/>
      <c r="M205" s="98"/>
      <c r="N205" s="98"/>
      <c r="O205" s="98"/>
      <c r="P205" s="98"/>
      <c r="Q205" s="98"/>
      <c r="R205" s="98"/>
      <c r="S205" s="98"/>
      <c r="T205" s="98"/>
      <c r="U205" s="98"/>
      <c r="V205" s="98"/>
      <c r="W205" s="98"/>
      <c r="X205" s="98"/>
      <c r="Y205" s="98"/>
      <c r="Z205" s="98"/>
      <c r="AA205" s="98"/>
      <c r="AB205" s="98"/>
      <c r="AC205" s="98"/>
    </row>
    <row r="206">
      <c r="A206" s="98"/>
      <c r="B206" s="98"/>
      <c r="C206" s="98"/>
      <c r="D206" s="98"/>
      <c r="E206" s="121"/>
      <c r="F206" s="98"/>
      <c r="G206" s="98"/>
      <c r="H206" s="98"/>
      <c r="I206" s="98"/>
      <c r="J206" s="98"/>
      <c r="K206" s="98"/>
      <c r="L206" s="98"/>
      <c r="M206" s="98"/>
      <c r="N206" s="98"/>
      <c r="O206" s="98"/>
      <c r="P206" s="98"/>
      <c r="Q206" s="98"/>
      <c r="R206" s="98"/>
      <c r="S206" s="98"/>
      <c r="T206" s="98"/>
      <c r="U206" s="98"/>
      <c r="V206" s="98"/>
      <c r="W206" s="98"/>
      <c r="X206" s="98"/>
      <c r="Y206" s="98"/>
      <c r="Z206" s="98"/>
      <c r="AA206" s="98"/>
      <c r="AB206" s="98"/>
      <c r="AC206" s="98"/>
    </row>
    <row r="207">
      <c r="A207" s="98"/>
      <c r="B207" s="98"/>
      <c r="C207" s="98"/>
      <c r="D207" s="98"/>
      <c r="E207" s="121"/>
      <c r="F207" s="98"/>
      <c r="G207" s="98"/>
      <c r="H207" s="98"/>
      <c r="I207" s="98"/>
      <c r="J207" s="98"/>
      <c r="K207" s="98"/>
      <c r="L207" s="98"/>
      <c r="M207" s="98"/>
      <c r="N207" s="98"/>
      <c r="O207" s="98"/>
      <c r="P207" s="98"/>
      <c r="Q207" s="98"/>
      <c r="R207" s="98"/>
      <c r="S207" s="98"/>
      <c r="T207" s="98"/>
      <c r="U207" s="98"/>
      <c r="V207" s="98"/>
      <c r="W207" s="98"/>
      <c r="X207" s="98"/>
      <c r="Y207" s="98"/>
      <c r="Z207" s="98"/>
      <c r="AA207" s="98"/>
      <c r="AB207" s="98"/>
      <c r="AC207" s="98"/>
    </row>
    <row r="208">
      <c r="A208" s="98"/>
      <c r="B208" s="98"/>
      <c r="C208" s="98"/>
      <c r="D208" s="98"/>
      <c r="E208" s="121"/>
      <c r="F208" s="98"/>
      <c r="G208" s="98"/>
      <c r="H208" s="98"/>
      <c r="I208" s="98"/>
      <c r="J208" s="98"/>
      <c r="K208" s="98"/>
      <c r="L208" s="98"/>
      <c r="M208" s="98"/>
      <c r="N208" s="98"/>
      <c r="O208" s="98"/>
      <c r="P208" s="98"/>
      <c r="Q208" s="98"/>
      <c r="R208" s="98"/>
      <c r="S208" s="98"/>
      <c r="T208" s="98"/>
      <c r="U208" s="98"/>
      <c r="V208" s="98"/>
      <c r="W208" s="98"/>
      <c r="X208" s="98"/>
      <c r="Y208" s="98"/>
      <c r="Z208" s="98"/>
      <c r="AA208" s="98"/>
      <c r="AB208" s="98"/>
      <c r="AC208" s="98"/>
    </row>
    <row r="209">
      <c r="A209" s="98"/>
      <c r="B209" s="98"/>
      <c r="C209" s="98"/>
      <c r="D209" s="98"/>
      <c r="E209" s="121"/>
      <c r="F209" s="98"/>
      <c r="G209" s="98"/>
      <c r="H209" s="98"/>
      <c r="I209" s="98"/>
      <c r="J209" s="98"/>
      <c r="K209" s="98"/>
      <c r="L209" s="98"/>
      <c r="M209" s="98"/>
      <c r="N209" s="98"/>
      <c r="O209" s="98"/>
      <c r="P209" s="98"/>
      <c r="Q209" s="98"/>
      <c r="R209" s="98"/>
      <c r="S209" s="98"/>
      <c r="T209" s="98"/>
      <c r="U209" s="98"/>
      <c r="V209" s="98"/>
      <c r="W209" s="98"/>
      <c r="X209" s="98"/>
      <c r="Y209" s="98"/>
      <c r="Z209" s="98"/>
      <c r="AA209" s="98"/>
      <c r="AB209" s="98"/>
      <c r="AC209" s="98"/>
    </row>
    <row r="210">
      <c r="A210" s="98"/>
      <c r="B210" s="98"/>
      <c r="C210" s="98"/>
      <c r="D210" s="98"/>
      <c r="E210" s="121"/>
      <c r="F210" s="98"/>
      <c r="G210" s="98"/>
      <c r="H210" s="98"/>
      <c r="I210" s="98"/>
      <c r="J210" s="98"/>
      <c r="K210" s="98"/>
      <c r="L210" s="98"/>
      <c r="M210" s="98"/>
      <c r="N210" s="98"/>
      <c r="O210" s="98"/>
      <c r="P210" s="98"/>
      <c r="Q210" s="98"/>
      <c r="R210" s="98"/>
      <c r="S210" s="98"/>
      <c r="T210" s="98"/>
      <c r="U210" s="98"/>
      <c r="V210" s="98"/>
      <c r="W210" s="98"/>
      <c r="X210" s="98"/>
      <c r="Y210" s="98"/>
      <c r="Z210" s="98"/>
      <c r="AA210" s="98"/>
      <c r="AB210" s="98"/>
      <c r="AC210" s="98"/>
    </row>
    <row r="211">
      <c r="A211" s="98"/>
      <c r="B211" s="98"/>
      <c r="C211" s="98"/>
      <c r="D211" s="98"/>
      <c r="E211" s="121"/>
      <c r="F211" s="98"/>
      <c r="G211" s="98"/>
      <c r="H211" s="98"/>
      <c r="I211" s="98"/>
      <c r="J211" s="98"/>
      <c r="K211" s="98"/>
      <c r="L211" s="98"/>
      <c r="M211" s="98"/>
      <c r="N211" s="98"/>
      <c r="O211" s="98"/>
      <c r="P211" s="98"/>
      <c r="Q211" s="98"/>
      <c r="R211" s="98"/>
      <c r="S211" s="98"/>
      <c r="T211" s="98"/>
      <c r="U211" s="98"/>
      <c r="V211" s="98"/>
      <c r="W211" s="98"/>
      <c r="X211" s="98"/>
      <c r="Y211" s="98"/>
      <c r="Z211" s="98"/>
      <c r="AA211" s="98"/>
      <c r="AB211" s="98"/>
      <c r="AC211" s="98"/>
    </row>
    <row r="212">
      <c r="A212" s="98"/>
      <c r="B212" s="98"/>
      <c r="C212" s="98"/>
      <c r="D212" s="98"/>
      <c r="E212" s="121"/>
      <c r="F212" s="98"/>
      <c r="G212" s="98"/>
      <c r="H212" s="98"/>
      <c r="I212" s="98"/>
      <c r="J212" s="98"/>
      <c r="K212" s="98"/>
      <c r="L212" s="98"/>
      <c r="M212" s="98"/>
      <c r="N212" s="98"/>
      <c r="O212" s="98"/>
      <c r="P212" s="98"/>
      <c r="Q212" s="98"/>
      <c r="R212" s="98"/>
      <c r="S212" s="98"/>
      <c r="T212" s="98"/>
      <c r="U212" s="98"/>
      <c r="V212" s="98"/>
      <c r="W212" s="98"/>
      <c r="X212" s="98"/>
      <c r="Y212" s="98"/>
      <c r="Z212" s="98"/>
      <c r="AA212" s="98"/>
      <c r="AB212" s="98"/>
      <c r="AC212" s="98"/>
    </row>
    <row r="213">
      <c r="A213" s="98"/>
      <c r="B213" s="98"/>
      <c r="C213" s="98"/>
      <c r="D213" s="98"/>
      <c r="E213" s="121"/>
      <c r="F213" s="98"/>
      <c r="G213" s="98"/>
      <c r="H213" s="98"/>
      <c r="I213" s="98"/>
      <c r="J213" s="98"/>
      <c r="K213" s="98"/>
      <c r="L213" s="98"/>
      <c r="M213" s="98"/>
      <c r="N213" s="98"/>
      <c r="O213" s="98"/>
      <c r="P213" s="98"/>
      <c r="Q213" s="98"/>
      <c r="R213" s="98"/>
      <c r="S213" s="98"/>
      <c r="T213" s="98"/>
      <c r="U213" s="98"/>
      <c r="V213" s="98"/>
      <c r="W213" s="98"/>
      <c r="X213" s="98"/>
      <c r="Y213" s="98"/>
      <c r="Z213" s="98"/>
      <c r="AA213" s="98"/>
      <c r="AB213" s="98"/>
      <c r="AC213" s="98"/>
    </row>
    <row r="214">
      <c r="A214" s="98"/>
      <c r="B214" s="98"/>
      <c r="C214" s="98"/>
      <c r="D214" s="98"/>
      <c r="E214" s="121"/>
      <c r="F214" s="98"/>
      <c r="G214" s="98"/>
      <c r="H214" s="98"/>
      <c r="I214" s="98"/>
      <c r="J214" s="98"/>
      <c r="K214" s="98"/>
      <c r="L214" s="98"/>
      <c r="M214" s="98"/>
      <c r="N214" s="98"/>
      <c r="O214" s="98"/>
      <c r="P214" s="98"/>
      <c r="Q214" s="98"/>
      <c r="R214" s="98"/>
      <c r="S214" s="98"/>
      <c r="T214" s="98"/>
      <c r="U214" s="98"/>
      <c r="V214" s="98"/>
      <c r="W214" s="98"/>
      <c r="X214" s="98"/>
      <c r="Y214" s="98"/>
      <c r="Z214" s="98"/>
      <c r="AA214" s="98"/>
      <c r="AB214" s="98"/>
      <c r="AC214" s="98"/>
    </row>
    <row r="215">
      <c r="A215" s="98"/>
      <c r="B215" s="98"/>
      <c r="C215" s="98"/>
      <c r="D215" s="98"/>
      <c r="E215" s="121"/>
      <c r="F215" s="98"/>
      <c r="G215" s="98"/>
      <c r="H215" s="98"/>
      <c r="I215" s="98"/>
      <c r="J215" s="98"/>
      <c r="K215" s="98"/>
      <c r="L215" s="98"/>
      <c r="M215" s="98"/>
      <c r="N215" s="98"/>
      <c r="O215" s="98"/>
      <c r="P215" s="98"/>
      <c r="Q215" s="98"/>
      <c r="R215" s="98"/>
      <c r="S215" s="98"/>
      <c r="T215" s="98"/>
      <c r="U215" s="98"/>
      <c r="V215" s="98"/>
      <c r="W215" s="98"/>
      <c r="X215" s="98"/>
      <c r="Y215" s="98"/>
      <c r="Z215" s="98"/>
      <c r="AA215" s="98"/>
      <c r="AB215" s="98"/>
      <c r="AC215" s="98"/>
    </row>
    <row r="216">
      <c r="A216" s="98"/>
      <c r="B216" s="98"/>
      <c r="C216" s="98"/>
      <c r="D216" s="98"/>
      <c r="E216" s="121"/>
      <c r="F216" s="98"/>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row>
    <row r="217">
      <c r="A217" s="98"/>
      <c r="B217" s="98"/>
      <c r="C217" s="98"/>
      <c r="D217" s="98"/>
      <c r="E217" s="121"/>
      <c r="F217" s="98"/>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row>
    <row r="218">
      <c r="A218" s="98"/>
      <c r="B218" s="98"/>
      <c r="C218" s="98"/>
      <c r="D218" s="98"/>
      <c r="E218" s="121"/>
      <c r="F218" s="98"/>
      <c r="G218" s="98"/>
      <c r="H218" s="98"/>
      <c r="I218" s="98"/>
      <c r="J218" s="98"/>
      <c r="K218" s="98"/>
      <c r="L218" s="98"/>
      <c r="M218" s="98"/>
      <c r="N218" s="98"/>
      <c r="O218" s="98"/>
      <c r="P218" s="98"/>
      <c r="Q218" s="98"/>
      <c r="R218" s="98"/>
      <c r="S218" s="98"/>
      <c r="T218" s="98"/>
      <c r="U218" s="98"/>
      <c r="V218" s="98"/>
      <c r="W218" s="98"/>
      <c r="X218" s="98"/>
      <c r="Y218" s="98"/>
      <c r="Z218" s="98"/>
      <c r="AA218" s="98"/>
      <c r="AB218" s="98"/>
      <c r="AC218" s="98"/>
    </row>
    <row r="219">
      <c r="A219" s="98"/>
      <c r="B219" s="98"/>
      <c r="C219" s="98"/>
      <c r="D219" s="98"/>
      <c r="E219" s="121"/>
      <c r="F219" s="98"/>
      <c r="G219" s="98"/>
      <c r="H219" s="98"/>
      <c r="I219" s="98"/>
      <c r="J219" s="98"/>
      <c r="K219" s="98"/>
      <c r="L219" s="98"/>
      <c r="M219" s="98"/>
      <c r="N219" s="98"/>
      <c r="O219" s="98"/>
      <c r="P219" s="98"/>
      <c r="Q219" s="98"/>
      <c r="R219" s="98"/>
      <c r="S219" s="98"/>
      <c r="T219" s="98"/>
      <c r="U219" s="98"/>
      <c r="V219" s="98"/>
      <c r="W219" s="98"/>
      <c r="X219" s="98"/>
      <c r="Y219" s="98"/>
      <c r="Z219" s="98"/>
      <c r="AA219" s="98"/>
      <c r="AB219" s="98"/>
      <c r="AC219" s="98"/>
    </row>
    <row r="220">
      <c r="A220" s="98"/>
      <c r="B220" s="98"/>
      <c r="C220" s="98"/>
      <c r="D220" s="98"/>
      <c r="E220" s="121"/>
      <c r="F220" s="98"/>
      <c r="G220" s="98"/>
      <c r="H220" s="98"/>
      <c r="I220" s="98"/>
      <c r="J220" s="98"/>
      <c r="K220" s="98"/>
      <c r="L220" s="98"/>
      <c r="M220" s="98"/>
      <c r="N220" s="98"/>
      <c r="O220" s="98"/>
      <c r="P220" s="98"/>
      <c r="Q220" s="98"/>
      <c r="R220" s="98"/>
      <c r="S220" s="98"/>
      <c r="T220" s="98"/>
      <c r="U220" s="98"/>
      <c r="V220" s="98"/>
      <c r="W220" s="98"/>
      <c r="X220" s="98"/>
      <c r="Y220" s="98"/>
      <c r="Z220" s="98"/>
      <c r="AA220" s="98"/>
      <c r="AB220" s="98"/>
      <c r="AC220" s="98"/>
    </row>
    <row r="221">
      <c r="A221" s="98"/>
      <c r="B221" s="98"/>
      <c r="C221" s="98"/>
      <c r="D221" s="98"/>
      <c r="E221" s="121"/>
      <c r="F221" s="98"/>
      <c r="G221" s="98"/>
      <c r="H221" s="98"/>
      <c r="I221" s="98"/>
      <c r="J221" s="98"/>
      <c r="K221" s="98"/>
      <c r="L221" s="98"/>
      <c r="M221" s="98"/>
      <c r="N221" s="98"/>
      <c r="O221" s="98"/>
      <c r="P221" s="98"/>
      <c r="Q221" s="98"/>
      <c r="R221" s="98"/>
      <c r="S221" s="98"/>
      <c r="T221" s="98"/>
      <c r="U221" s="98"/>
      <c r="V221" s="98"/>
      <c r="W221" s="98"/>
      <c r="X221" s="98"/>
      <c r="Y221" s="98"/>
      <c r="Z221" s="98"/>
      <c r="AA221" s="98"/>
      <c r="AB221" s="98"/>
      <c r="AC221" s="98"/>
    </row>
    <row r="222">
      <c r="A222" s="98"/>
      <c r="B222" s="98"/>
      <c r="C222" s="98"/>
      <c r="D222" s="98"/>
      <c r="E222" s="121"/>
      <c r="F222" s="98"/>
      <c r="G222" s="98"/>
      <c r="H222" s="98"/>
      <c r="I222" s="98"/>
      <c r="J222" s="98"/>
      <c r="K222" s="98"/>
      <c r="L222" s="98"/>
      <c r="M222" s="98"/>
      <c r="N222" s="98"/>
      <c r="O222" s="98"/>
      <c r="P222" s="98"/>
      <c r="Q222" s="98"/>
      <c r="R222" s="98"/>
      <c r="S222" s="98"/>
      <c r="T222" s="98"/>
      <c r="U222" s="98"/>
      <c r="V222" s="98"/>
      <c r="W222" s="98"/>
      <c r="X222" s="98"/>
      <c r="Y222" s="98"/>
      <c r="Z222" s="98"/>
      <c r="AA222" s="98"/>
      <c r="AB222" s="98"/>
      <c r="AC222" s="98"/>
    </row>
    <row r="223">
      <c r="A223" s="98"/>
      <c r="B223" s="98"/>
      <c r="C223" s="98"/>
      <c r="D223" s="98"/>
      <c r="E223" s="121"/>
      <c r="F223" s="98"/>
      <c r="G223" s="98"/>
      <c r="H223" s="98"/>
      <c r="I223" s="98"/>
      <c r="J223" s="98"/>
      <c r="K223" s="98"/>
      <c r="L223" s="98"/>
      <c r="M223" s="98"/>
      <c r="N223" s="98"/>
      <c r="O223" s="98"/>
      <c r="P223" s="98"/>
      <c r="Q223" s="98"/>
      <c r="R223" s="98"/>
      <c r="S223" s="98"/>
      <c r="T223" s="98"/>
      <c r="U223" s="98"/>
      <c r="V223" s="98"/>
      <c r="W223" s="98"/>
      <c r="X223" s="98"/>
      <c r="Y223" s="98"/>
      <c r="Z223" s="98"/>
      <c r="AA223" s="98"/>
      <c r="AB223" s="98"/>
      <c r="AC223" s="98"/>
    </row>
    <row r="224">
      <c r="A224" s="98"/>
      <c r="B224" s="98"/>
      <c r="C224" s="98"/>
      <c r="D224" s="98"/>
      <c r="E224" s="121"/>
      <c r="F224" s="98"/>
      <c r="G224" s="98"/>
      <c r="H224" s="98"/>
      <c r="I224" s="98"/>
      <c r="J224" s="98"/>
      <c r="K224" s="98"/>
      <c r="L224" s="98"/>
      <c r="M224" s="98"/>
      <c r="N224" s="98"/>
      <c r="O224" s="98"/>
      <c r="P224" s="98"/>
      <c r="Q224" s="98"/>
      <c r="R224" s="98"/>
      <c r="S224" s="98"/>
      <c r="T224" s="98"/>
      <c r="U224" s="98"/>
      <c r="V224" s="98"/>
      <c r="W224" s="98"/>
      <c r="X224" s="98"/>
      <c r="Y224" s="98"/>
      <c r="Z224" s="98"/>
      <c r="AA224" s="98"/>
      <c r="AB224" s="98"/>
      <c r="AC224" s="98"/>
    </row>
    <row r="225">
      <c r="A225" s="98"/>
      <c r="B225" s="98"/>
      <c r="C225" s="98"/>
      <c r="D225" s="98"/>
      <c r="E225" s="121"/>
      <c r="F225" s="98"/>
      <c r="G225" s="98"/>
      <c r="H225" s="98"/>
      <c r="I225" s="98"/>
      <c r="J225" s="98"/>
      <c r="K225" s="98"/>
      <c r="L225" s="98"/>
      <c r="M225" s="98"/>
      <c r="N225" s="98"/>
      <c r="O225" s="98"/>
      <c r="P225" s="98"/>
      <c r="Q225" s="98"/>
      <c r="R225" s="98"/>
      <c r="S225" s="98"/>
      <c r="T225" s="98"/>
      <c r="U225" s="98"/>
      <c r="V225" s="98"/>
      <c r="W225" s="98"/>
      <c r="X225" s="98"/>
      <c r="Y225" s="98"/>
      <c r="Z225" s="98"/>
      <c r="AA225" s="98"/>
      <c r="AB225" s="98"/>
      <c r="AC225" s="98"/>
    </row>
    <row r="226">
      <c r="A226" s="98"/>
      <c r="B226" s="98"/>
      <c r="C226" s="98"/>
      <c r="D226" s="98"/>
      <c r="E226" s="121"/>
      <c r="F226" s="98"/>
      <c r="G226" s="98"/>
      <c r="H226" s="98"/>
      <c r="I226" s="98"/>
      <c r="J226" s="98"/>
      <c r="K226" s="98"/>
      <c r="L226" s="98"/>
      <c r="M226" s="98"/>
      <c r="N226" s="98"/>
      <c r="O226" s="98"/>
      <c r="P226" s="98"/>
      <c r="Q226" s="98"/>
      <c r="R226" s="98"/>
      <c r="S226" s="98"/>
      <c r="T226" s="98"/>
      <c r="U226" s="98"/>
      <c r="V226" s="98"/>
      <c r="W226" s="98"/>
      <c r="X226" s="98"/>
      <c r="Y226" s="98"/>
      <c r="Z226" s="98"/>
      <c r="AA226" s="98"/>
      <c r="AB226" s="98"/>
      <c r="AC226" s="98"/>
    </row>
    <row r="227">
      <c r="A227" s="98"/>
      <c r="B227" s="98"/>
      <c r="C227" s="98"/>
      <c r="D227" s="98"/>
      <c r="E227" s="121"/>
      <c r="F227" s="98"/>
      <c r="G227" s="98"/>
      <c r="H227" s="98"/>
      <c r="I227" s="98"/>
      <c r="J227" s="98"/>
      <c r="K227" s="98"/>
      <c r="L227" s="98"/>
      <c r="M227" s="98"/>
      <c r="N227" s="98"/>
      <c r="O227" s="98"/>
      <c r="P227" s="98"/>
      <c r="Q227" s="98"/>
      <c r="R227" s="98"/>
      <c r="S227" s="98"/>
      <c r="T227" s="98"/>
      <c r="U227" s="98"/>
      <c r="V227" s="98"/>
      <c r="W227" s="98"/>
      <c r="X227" s="98"/>
      <c r="Y227" s="98"/>
      <c r="Z227" s="98"/>
      <c r="AA227" s="98"/>
      <c r="AB227" s="98"/>
      <c r="AC227" s="98"/>
    </row>
    <row r="228">
      <c r="A228" s="98"/>
      <c r="B228" s="98"/>
      <c r="C228" s="98"/>
      <c r="D228" s="98"/>
      <c r="E228" s="121"/>
      <c r="F228" s="98"/>
      <c r="G228" s="98"/>
      <c r="H228" s="98"/>
      <c r="I228" s="98"/>
      <c r="J228" s="98"/>
      <c r="K228" s="98"/>
      <c r="L228" s="98"/>
      <c r="M228" s="98"/>
      <c r="N228" s="98"/>
      <c r="O228" s="98"/>
      <c r="P228" s="98"/>
      <c r="Q228" s="98"/>
      <c r="R228" s="98"/>
      <c r="S228" s="98"/>
      <c r="T228" s="98"/>
      <c r="U228" s="98"/>
      <c r="V228" s="98"/>
      <c r="W228" s="98"/>
      <c r="X228" s="98"/>
      <c r="Y228" s="98"/>
      <c r="Z228" s="98"/>
      <c r="AA228" s="98"/>
      <c r="AB228" s="98"/>
      <c r="AC228" s="98"/>
    </row>
    <row r="229">
      <c r="A229" s="98"/>
      <c r="B229" s="98"/>
      <c r="C229" s="98"/>
      <c r="D229" s="98"/>
      <c r="E229" s="121"/>
      <c r="F229" s="98"/>
      <c r="G229" s="98"/>
      <c r="H229" s="98"/>
      <c r="I229" s="98"/>
      <c r="J229" s="98"/>
      <c r="K229" s="98"/>
      <c r="L229" s="98"/>
      <c r="M229" s="98"/>
      <c r="N229" s="98"/>
      <c r="O229" s="98"/>
      <c r="P229" s="98"/>
      <c r="Q229" s="98"/>
      <c r="R229" s="98"/>
      <c r="S229" s="98"/>
      <c r="T229" s="98"/>
      <c r="U229" s="98"/>
      <c r="V229" s="98"/>
      <c r="W229" s="98"/>
      <c r="X229" s="98"/>
      <c r="Y229" s="98"/>
      <c r="Z229" s="98"/>
      <c r="AA229" s="98"/>
      <c r="AB229" s="98"/>
      <c r="AC229" s="98"/>
    </row>
    <row r="230">
      <c r="A230" s="98"/>
      <c r="B230" s="98"/>
      <c r="C230" s="98"/>
      <c r="D230" s="98"/>
      <c r="E230" s="121"/>
      <c r="F230" s="98"/>
      <c r="G230" s="98"/>
      <c r="H230" s="98"/>
      <c r="I230" s="98"/>
      <c r="J230" s="98"/>
      <c r="K230" s="98"/>
      <c r="L230" s="98"/>
      <c r="M230" s="98"/>
      <c r="N230" s="98"/>
      <c r="O230" s="98"/>
      <c r="P230" s="98"/>
      <c r="Q230" s="98"/>
      <c r="R230" s="98"/>
      <c r="S230" s="98"/>
      <c r="T230" s="98"/>
      <c r="U230" s="98"/>
      <c r="V230" s="98"/>
      <c r="W230" s="98"/>
      <c r="X230" s="98"/>
      <c r="Y230" s="98"/>
      <c r="Z230" s="98"/>
      <c r="AA230" s="98"/>
      <c r="AB230" s="98"/>
      <c r="AC230" s="98"/>
    </row>
    <row r="231">
      <c r="A231" s="98"/>
      <c r="B231" s="98"/>
      <c r="C231" s="98"/>
      <c r="D231" s="98"/>
      <c r="E231" s="121"/>
      <c r="F231" s="98"/>
      <c r="G231" s="98"/>
      <c r="H231" s="98"/>
      <c r="I231" s="98"/>
      <c r="J231" s="98"/>
      <c r="K231" s="98"/>
      <c r="L231" s="98"/>
      <c r="M231" s="98"/>
      <c r="N231" s="98"/>
      <c r="O231" s="98"/>
      <c r="P231" s="98"/>
      <c r="Q231" s="98"/>
      <c r="R231" s="98"/>
      <c r="S231" s="98"/>
      <c r="T231" s="98"/>
      <c r="U231" s="98"/>
      <c r="V231" s="98"/>
      <c r="W231" s="98"/>
      <c r="X231" s="98"/>
      <c r="Y231" s="98"/>
      <c r="Z231" s="98"/>
      <c r="AA231" s="98"/>
      <c r="AB231" s="98"/>
      <c r="AC231" s="98"/>
    </row>
    <row r="232">
      <c r="A232" s="98"/>
      <c r="B232" s="98"/>
      <c r="C232" s="98"/>
      <c r="D232" s="98"/>
      <c r="E232" s="121"/>
      <c r="F232" s="98"/>
      <c r="G232" s="98"/>
      <c r="H232" s="98"/>
      <c r="I232" s="98"/>
      <c r="J232" s="98"/>
      <c r="K232" s="98"/>
      <c r="L232" s="98"/>
      <c r="M232" s="98"/>
      <c r="N232" s="98"/>
      <c r="O232" s="98"/>
      <c r="P232" s="98"/>
      <c r="Q232" s="98"/>
      <c r="R232" s="98"/>
      <c r="S232" s="98"/>
      <c r="T232" s="98"/>
      <c r="U232" s="98"/>
      <c r="V232" s="98"/>
      <c r="W232" s="98"/>
      <c r="X232" s="98"/>
      <c r="Y232" s="98"/>
      <c r="Z232" s="98"/>
      <c r="AA232" s="98"/>
      <c r="AB232" s="98"/>
      <c r="AC232" s="98"/>
    </row>
    <row r="233">
      <c r="A233" s="98"/>
      <c r="B233" s="98"/>
      <c r="C233" s="98"/>
      <c r="D233" s="98"/>
      <c r="E233" s="121"/>
      <c r="F233" s="98"/>
      <c r="G233" s="98"/>
      <c r="H233" s="98"/>
      <c r="I233" s="98"/>
      <c r="J233" s="98"/>
      <c r="K233" s="98"/>
      <c r="L233" s="98"/>
      <c r="M233" s="98"/>
      <c r="N233" s="98"/>
      <c r="O233" s="98"/>
      <c r="P233" s="98"/>
      <c r="Q233" s="98"/>
      <c r="R233" s="98"/>
      <c r="S233" s="98"/>
      <c r="T233" s="98"/>
      <c r="U233" s="98"/>
      <c r="V233" s="98"/>
      <c r="W233" s="98"/>
      <c r="X233" s="98"/>
      <c r="Y233" s="98"/>
      <c r="Z233" s="98"/>
      <c r="AA233" s="98"/>
      <c r="AB233" s="98"/>
      <c r="AC233" s="98"/>
    </row>
    <row r="234">
      <c r="A234" s="98"/>
      <c r="B234" s="98"/>
      <c r="C234" s="98"/>
      <c r="D234" s="98"/>
      <c r="E234" s="121"/>
      <c r="F234" s="98"/>
      <c r="G234" s="98"/>
      <c r="H234" s="98"/>
      <c r="I234" s="98"/>
      <c r="J234" s="98"/>
      <c r="K234" s="98"/>
      <c r="L234" s="98"/>
      <c r="M234" s="98"/>
      <c r="N234" s="98"/>
      <c r="O234" s="98"/>
      <c r="P234" s="98"/>
      <c r="Q234" s="98"/>
      <c r="R234" s="98"/>
      <c r="S234" s="98"/>
      <c r="T234" s="98"/>
      <c r="U234" s="98"/>
      <c r="V234" s="98"/>
      <c r="W234" s="98"/>
      <c r="X234" s="98"/>
      <c r="Y234" s="98"/>
      <c r="Z234" s="98"/>
      <c r="AA234" s="98"/>
      <c r="AB234" s="98"/>
      <c r="AC234" s="98"/>
    </row>
    <row r="235">
      <c r="A235" s="98"/>
      <c r="B235" s="98"/>
      <c r="C235" s="98"/>
      <c r="D235" s="98"/>
      <c r="E235" s="121"/>
      <c r="F235" s="98"/>
      <c r="G235" s="98"/>
      <c r="H235" s="98"/>
      <c r="I235" s="98"/>
      <c r="J235" s="98"/>
      <c r="K235" s="98"/>
      <c r="L235" s="98"/>
      <c r="M235" s="98"/>
      <c r="N235" s="98"/>
      <c r="O235" s="98"/>
      <c r="P235" s="98"/>
      <c r="Q235" s="98"/>
      <c r="R235" s="98"/>
      <c r="S235" s="98"/>
      <c r="T235" s="98"/>
      <c r="U235" s="98"/>
      <c r="V235" s="98"/>
      <c r="W235" s="98"/>
      <c r="X235" s="98"/>
      <c r="Y235" s="98"/>
      <c r="Z235" s="98"/>
      <c r="AA235" s="98"/>
      <c r="AB235" s="98"/>
      <c r="AC235" s="98"/>
    </row>
    <row r="236">
      <c r="A236" s="98"/>
      <c r="B236" s="98"/>
      <c r="C236" s="98"/>
      <c r="D236" s="98"/>
      <c r="E236" s="121"/>
      <c r="F236" s="98"/>
      <c r="G236" s="98"/>
      <c r="H236" s="98"/>
      <c r="I236" s="98"/>
      <c r="J236" s="98"/>
      <c r="K236" s="98"/>
      <c r="L236" s="98"/>
      <c r="M236" s="98"/>
      <c r="N236" s="98"/>
      <c r="O236" s="98"/>
      <c r="P236" s="98"/>
      <c r="Q236" s="98"/>
      <c r="R236" s="98"/>
      <c r="S236" s="98"/>
      <c r="T236" s="98"/>
      <c r="U236" s="98"/>
      <c r="V236" s="98"/>
      <c r="W236" s="98"/>
      <c r="X236" s="98"/>
      <c r="Y236" s="98"/>
      <c r="Z236" s="98"/>
      <c r="AA236" s="98"/>
      <c r="AB236" s="98"/>
      <c r="AC236" s="98"/>
    </row>
    <row r="237">
      <c r="A237" s="98"/>
      <c r="B237" s="98"/>
      <c r="C237" s="98"/>
      <c r="D237" s="98"/>
      <c r="E237" s="121"/>
      <c r="F237" s="98"/>
      <c r="G237" s="98"/>
      <c r="H237" s="98"/>
      <c r="I237" s="98"/>
      <c r="J237" s="98"/>
      <c r="K237" s="98"/>
      <c r="L237" s="98"/>
      <c r="M237" s="98"/>
      <c r="N237" s="98"/>
      <c r="O237" s="98"/>
      <c r="P237" s="98"/>
      <c r="Q237" s="98"/>
      <c r="R237" s="98"/>
      <c r="S237" s="98"/>
      <c r="T237" s="98"/>
      <c r="U237" s="98"/>
      <c r="V237" s="98"/>
      <c r="W237" s="98"/>
      <c r="X237" s="98"/>
      <c r="Y237" s="98"/>
      <c r="Z237" s="98"/>
      <c r="AA237" s="98"/>
      <c r="AB237" s="98"/>
      <c r="AC237" s="98"/>
    </row>
    <row r="238">
      <c r="A238" s="98"/>
      <c r="B238" s="98"/>
      <c r="C238" s="98"/>
      <c r="D238" s="98"/>
      <c r="E238" s="121"/>
      <c r="F238" s="98"/>
      <c r="G238" s="98"/>
      <c r="H238" s="98"/>
      <c r="I238" s="98"/>
      <c r="J238" s="98"/>
      <c r="K238" s="98"/>
      <c r="L238" s="98"/>
      <c r="M238" s="98"/>
      <c r="N238" s="98"/>
      <c r="O238" s="98"/>
      <c r="P238" s="98"/>
      <c r="Q238" s="98"/>
      <c r="R238" s="98"/>
      <c r="S238" s="98"/>
      <c r="T238" s="98"/>
      <c r="U238" s="98"/>
      <c r="V238" s="98"/>
      <c r="W238" s="98"/>
      <c r="X238" s="98"/>
      <c r="Y238" s="98"/>
      <c r="Z238" s="98"/>
      <c r="AA238" s="98"/>
      <c r="AB238" s="98"/>
      <c r="AC238" s="98"/>
    </row>
    <row r="239">
      <c r="A239" s="98"/>
      <c r="B239" s="98"/>
      <c r="C239" s="98"/>
      <c r="D239" s="98"/>
      <c r="E239" s="121"/>
      <c r="F239" s="98"/>
      <c r="G239" s="98"/>
      <c r="H239" s="98"/>
      <c r="I239" s="98"/>
      <c r="J239" s="98"/>
      <c r="K239" s="98"/>
      <c r="L239" s="98"/>
      <c r="M239" s="98"/>
      <c r="N239" s="98"/>
      <c r="O239" s="98"/>
      <c r="P239" s="98"/>
      <c r="Q239" s="98"/>
      <c r="R239" s="98"/>
      <c r="S239" s="98"/>
      <c r="T239" s="98"/>
      <c r="U239" s="98"/>
      <c r="V239" s="98"/>
      <c r="W239" s="98"/>
      <c r="X239" s="98"/>
      <c r="Y239" s="98"/>
      <c r="Z239" s="98"/>
      <c r="AA239" s="98"/>
      <c r="AB239" s="98"/>
      <c r="AC239" s="98"/>
    </row>
    <row r="240">
      <c r="A240" s="98"/>
      <c r="B240" s="98"/>
      <c r="C240" s="98"/>
      <c r="D240" s="98"/>
      <c r="E240" s="121"/>
      <c r="F240" s="98"/>
      <c r="G240" s="98"/>
      <c r="H240" s="98"/>
      <c r="I240" s="98"/>
      <c r="J240" s="98"/>
      <c r="K240" s="98"/>
      <c r="L240" s="98"/>
      <c r="M240" s="98"/>
      <c r="N240" s="98"/>
      <c r="O240" s="98"/>
      <c r="P240" s="98"/>
      <c r="Q240" s="98"/>
      <c r="R240" s="98"/>
      <c r="S240" s="98"/>
      <c r="T240" s="98"/>
      <c r="U240" s="98"/>
      <c r="V240" s="98"/>
      <c r="W240" s="98"/>
      <c r="X240" s="98"/>
      <c r="Y240" s="98"/>
      <c r="Z240" s="98"/>
      <c r="AA240" s="98"/>
      <c r="AB240" s="98"/>
      <c r="AC240" s="98"/>
    </row>
    <row r="241">
      <c r="A241" s="98"/>
      <c r="B241" s="98"/>
      <c r="C241" s="98"/>
      <c r="D241" s="98"/>
      <c r="E241" s="121"/>
      <c r="F241" s="98"/>
      <c r="G241" s="98"/>
      <c r="H241" s="98"/>
      <c r="I241" s="98"/>
      <c r="J241" s="98"/>
      <c r="K241" s="98"/>
      <c r="L241" s="98"/>
      <c r="M241" s="98"/>
      <c r="N241" s="98"/>
      <c r="O241" s="98"/>
      <c r="P241" s="98"/>
      <c r="Q241" s="98"/>
      <c r="R241" s="98"/>
      <c r="S241" s="98"/>
      <c r="T241" s="98"/>
      <c r="U241" s="98"/>
      <c r="V241" s="98"/>
      <c r="W241" s="98"/>
      <c r="X241" s="98"/>
      <c r="Y241" s="98"/>
      <c r="Z241" s="98"/>
      <c r="AA241" s="98"/>
      <c r="AB241" s="98"/>
      <c r="AC241" s="98"/>
    </row>
    <row r="242">
      <c r="A242" s="98"/>
      <c r="B242" s="98"/>
      <c r="C242" s="98"/>
      <c r="D242" s="98"/>
      <c r="E242" s="121"/>
      <c r="F242" s="98"/>
      <c r="G242" s="98"/>
      <c r="H242" s="98"/>
      <c r="I242" s="98"/>
      <c r="J242" s="98"/>
      <c r="K242" s="98"/>
      <c r="L242" s="98"/>
      <c r="M242" s="98"/>
      <c r="N242" s="98"/>
      <c r="O242" s="98"/>
      <c r="P242" s="98"/>
      <c r="Q242" s="98"/>
      <c r="R242" s="98"/>
      <c r="S242" s="98"/>
      <c r="T242" s="98"/>
      <c r="U242" s="98"/>
      <c r="V242" s="98"/>
      <c r="W242" s="98"/>
      <c r="X242" s="98"/>
      <c r="Y242" s="98"/>
      <c r="Z242" s="98"/>
      <c r="AA242" s="98"/>
      <c r="AB242" s="98"/>
      <c r="AC242" s="98"/>
    </row>
    <row r="243">
      <c r="A243" s="98"/>
      <c r="B243" s="98"/>
      <c r="C243" s="98"/>
      <c r="D243" s="98"/>
      <c r="E243" s="121"/>
      <c r="F243" s="98"/>
      <c r="G243" s="98"/>
      <c r="H243" s="98"/>
      <c r="I243" s="98"/>
      <c r="J243" s="98"/>
      <c r="K243" s="98"/>
      <c r="L243" s="98"/>
      <c r="M243" s="98"/>
      <c r="N243" s="98"/>
      <c r="O243" s="98"/>
      <c r="P243" s="98"/>
      <c r="Q243" s="98"/>
      <c r="R243" s="98"/>
      <c r="S243" s="98"/>
      <c r="T243" s="98"/>
      <c r="U243" s="98"/>
      <c r="V243" s="98"/>
      <c r="W243" s="98"/>
      <c r="X243" s="98"/>
      <c r="Y243" s="98"/>
      <c r="Z243" s="98"/>
      <c r="AA243" s="98"/>
      <c r="AB243" s="98"/>
      <c r="AC243" s="98"/>
    </row>
    <row r="244">
      <c r="A244" s="98"/>
      <c r="B244" s="98"/>
      <c r="C244" s="98"/>
      <c r="D244" s="98"/>
      <c r="E244" s="121"/>
      <c r="F244" s="98"/>
      <c r="G244" s="98"/>
      <c r="H244" s="98"/>
      <c r="I244" s="98"/>
      <c r="J244" s="98"/>
      <c r="K244" s="98"/>
      <c r="L244" s="98"/>
      <c r="M244" s="98"/>
      <c r="N244" s="98"/>
      <c r="O244" s="98"/>
      <c r="P244" s="98"/>
      <c r="Q244" s="98"/>
      <c r="R244" s="98"/>
      <c r="S244" s="98"/>
      <c r="T244" s="98"/>
      <c r="U244" s="98"/>
      <c r="V244" s="98"/>
      <c r="W244" s="98"/>
      <c r="X244" s="98"/>
      <c r="Y244" s="98"/>
      <c r="Z244" s="98"/>
      <c r="AA244" s="98"/>
      <c r="AB244" s="98"/>
      <c r="AC244" s="98"/>
    </row>
    <row r="245">
      <c r="A245" s="98"/>
      <c r="B245" s="98"/>
      <c r="C245" s="98"/>
      <c r="D245" s="98"/>
      <c r="E245" s="121"/>
      <c r="F245" s="98"/>
      <c r="G245" s="98"/>
      <c r="H245" s="98"/>
      <c r="I245" s="98"/>
      <c r="J245" s="98"/>
      <c r="K245" s="98"/>
      <c r="L245" s="98"/>
      <c r="M245" s="98"/>
      <c r="N245" s="98"/>
      <c r="O245" s="98"/>
      <c r="P245" s="98"/>
      <c r="Q245" s="98"/>
      <c r="R245" s="98"/>
      <c r="S245" s="98"/>
      <c r="T245" s="98"/>
      <c r="U245" s="98"/>
      <c r="V245" s="98"/>
      <c r="W245" s="98"/>
      <c r="X245" s="98"/>
      <c r="Y245" s="98"/>
      <c r="Z245" s="98"/>
      <c r="AA245" s="98"/>
      <c r="AB245" s="98"/>
      <c r="AC245" s="98"/>
    </row>
    <row r="246">
      <c r="A246" s="98"/>
      <c r="B246" s="98"/>
      <c r="C246" s="98"/>
      <c r="D246" s="98"/>
      <c r="E246" s="121"/>
      <c r="F246" s="98"/>
      <c r="G246" s="98"/>
      <c r="H246" s="98"/>
      <c r="I246" s="98"/>
      <c r="J246" s="98"/>
      <c r="K246" s="98"/>
      <c r="L246" s="98"/>
      <c r="M246" s="98"/>
      <c r="N246" s="98"/>
      <c r="O246" s="98"/>
      <c r="P246" s="98"/>
      <c r="Q246" s="98"/>
      <c r="R246" s="98"/>
      <c r="S246" s="98"/>
      <c r="T246" s="98"/>
      <c r="U246" s="98"/>
      <c r="V246" s="98"/>
      <c r="W246" s="98"/>
      <c r="X246" s="98"/>
      <c r="Y246" s="98"/>
      <c r="Z246" s="98"/>
      <c r="AA246" s="98"/>
      <c r="AB246" s="98"/>
      <c r="AC246" s="98"/>
    </row>
    <row r="247">
      <c r="A247" s="98"/>
      <c r="B247" s="98"/>
      <c r="C247" s="98"/>
      <c r="D247" s="98"/>
      <c r="E247" s="121"/>
      <c r="F247" s="98"/>
      <c r="G247" s="98"/>
      <c r="H247" s="98"/>
      <c r="I247" s="98"/>
      <c r="J247" s="98"/>
      <c r="K247" s="98"/>
      <c r="L247" s="98"/>
      <c r="M247" s="98"/>
      <c r="N247" s="98"/>
      <c r="O247" s="98"/>
      <c r="P247" s="98"/>
      <c r="Q247" s="98"/>
      <c r="R247" s="98"/>
      <c r="S247" s="98"/>
      <c r="T247" s="98"/>
      <c r="U247" s="98"/>
      <c r="V247" s="98"/>
      <c r="W247" s="98"/>
      <c r="X247" s="98"/>
      <c r="Y247" s="98"/>
      <c r="Z247" s="98"/>
      <c r="AA247" s="98"/>
      <c r="AB247" s="98"/>
      <c r="AC247" s="98"/>
    </row>
    <row r="248">
      <c r="A248" s="98"/>
      <c r="B248" s="98"/>
      <c r="C248" s="98"/>
      <c r="D248" s="98"/>
      <c r="E248" s="121"/>
      <c r="F248" s="98"/>
      <c r="G248" s="98"/>
      <c r="H248" s="98"/>
      <c r="I248" s="98"/>
      <c r="J248" s="98"/>
      <c r="K248" s="98"/>
      <c r="L248" s="98"/>
      <c r="M248" s="98"/>
      <c r="N248" s="98"/>
      <c r="O248" s="98"/>
      <c r="P248" s="98"/>
      <c r="Q248" s="98"/>
      <c r="R248" s="98"/>
      <c r="S248" s="98"/>
      <c r="T248" s="98"/>
      <c r="U248" s="98"/>
      <c r="V248" s="98"/>
      <c r="W248" s="98"/>
      <c r="X248" s="98"/>
      <c r="Y248" s="98"/>
      <c r="Z248" s="98"/>
      <c r="AA248" s="98"/>
      <c r="AB248" s="98"/>
      <c r="AC248" s="98"/>
    </row>
    <row r="249">
      <c r="A249" s="98"/>
      <c r="B249" s="98"/>
      <c r="C249" s="98"/>
      <c r="D249" s="98"/>
      <c r="E249" s="121"/>
      <c r="F249" s="98"/>
      <c r="G249" s="98"/>
      <c r="H249" s="98"/>
      <c r="I249" s="98"/>
      <c r="J249" s="98"/>
      <c r="K249" s="98"/>
      <c r="L249" s="98"/>
      <c r="M249" s="98"/>
      <c r="N249" s="98"/>
      <c r="O249" s="98"/>
      <c r="P249" s="98"/>
      <c r="Q249" s="98"/>
      <c r="R249" s="98"/>
      <c r="S249" s="98"/>
      <c r="T249" s="98"/>
      <c r="U249" s="98"/>
      <c r="V249" s="98"/>
      <c r="W249" s="98"/>
      <c r="X249" s="98"/>
      <c r="Y249" s="98"/>
      <c r="Z249" s="98"/>
      <c r="AA249" s="98"/>
      <c r="AB249" s="98"/>
      <c r="AC249" s="98"/>
    </row>
    <row r="250">
      <c r="A250" s="98"/>
      <c r="B250" s="98"/>
      <c r="C250" s="98"/>
      <c r="D250" s="98"/>
      <c r="E250" s="121"/>
      <c r="F250" s="98"/>
      <c r="G250" s="98"/>
      <c r="H250" s="98"/>
      <c r="I250" s="98"/>
      <c r="J250" s="98"/>
      <c r="K250" s="98"/>
      <c r="L250" s="98"/>
      <c r="M250" s="98"/>
      <c r="N250" s="98"/>
      <c r="O250" s="98"/>
      <c r="P250" s="98"/>
      <c r="Q250" s="98"/>
      <c r="R250" s="98"/>
      <c r="S250" s="98"/>
      <c r="T250" s="98"/>
      <c r="U250" s="98"/>
      <c r="V250" s="98"/>
      <c r="W250" s="98"/>
      <c r="X250" s="98"/>
      <c r="Y250" s="98"/>
      <c r="Z250" s="98"/>
      <c r="AA250" s="98"/>
      <c r="AB250" s="98"/>
      <c r="AC250" s="98"/>
    </row>
    <row r="251">
      <c r="A251" s="98"/>
      <c r="B251" s="98"/>
      <c r="C251" s="98"/>
      <c r="D251" s="98"/>
      <c r="E251" s="121"/>
      <c r="F251" s="98"/>
      <c r="G251" s="98"/>
      <c r="H251" s="98"/>
      <c r="I251" s="98"/>
      <c r="J251" s="98"/>
      <c r="K251" s="98"/>
      <c r="L251" s="98"/>
      <c r="M251" s="98"/>
      <c r="N251" s="98"/>
      <c r="O251" s="98"/>
      <c r="P251" s="98"/>
      <c r="Q251" s="98"/>
      <c r="R251" s="98"/>
      <c r="S251" s="98"/>
      <c r="T251" s="98"/>
      <c r="U251" s="98"/>
      <c r="V251" s="98"/>
      <c r="W251" s="98"/>
      <c r="X251" s="98"/>
      <c r="Y251" s="98"/>
      <c r="Z251" s="98"/>
      <c r="AA251" s="98"/>
      <c r="AB251" s="98"/>
      <c r="AC251" s="98"/>
    </row>
    <row r="252">
      <c r="A252" s="98"/>
      <c r="B252" s="98"/>
      <c r="C252" s="98"/>
      <c r="D252" s="98"/>
      <c r="E252" s="121"/>
      <c r="F252" s="98"/>
      <c r="G252" s="98"/>
      <c r="H252" s="98"/>
      <c r="I252" s="98"/>
      <c r="J252" s="98"/>
      <c r="K252" s="98"/>
      <c r="L252" s="98"/>
      <c r="M252" s="98"/>
      <c r="N252" s="98"/>
      <c r="O252" s="98"/>
      <c r="P252" s="98"/>
      <c r="Q252" s="98"/>
      <c r="R252" s="98"/>
      <c r="S252" s="98"/>
      <c r="T252" s="98"/>
      <c r="U252" s="98"/>
      <c r="V252" s="98"/>
      <c r="W252" s="98"/>
      <c r="X252" s="98"/>
      <c r="Y252" s="98"/>
      <c r="Z252" s="98"/>
      <c r="AA252" s="98"/>
      <c r="AB252" s="98"/>
      <c r="AC252" s="98"/>
    </row>
    <row r="253">
      <c r="A253" s="98"/>
      <c r="B253" s="98"/>
      <c r="C253" s="98"/>
      <c r="D253" s="98"/>
      <c r="E253" s="121"/>
      <c r="F253" s="98"/>
      <c r="G253" s="98"/>
      <c r="H253" s="98"/>
      <c r="I253" s="98"/>
      <c r="J253" s="98"/>
      <c r="K253" s="98"/>
      <c r="L253" s="98"/>
      <c r="M253" s="98"/>
      <c r="N253" s="98"/>
      <c r="O253" s="98"/>
      <c r="P253" s="98"/>
      <c r="Q253" s="98"/>
      <c r="R253" s="98"/>
      <c r="S253" s="98"/>
      <c r="T253" s="98"/>
      <c r="U253" s="98"/>
      <c r="V253" s="98"/>
      <c r="W253" s="98"/>
      <c r="X253" s="98"/>
      <c r="Y253" s="98"/>
      <c r="Z253" s="98"/>
      <c r="AA253" s="98"/>
      <c r="AB253" s="98"/>
      <c r="AC253" s="98"/>
    </row>
    <row r="254">
      <c r="A254" s="98"/>
      <c r="B254" s="98"/>
      <c r="C254" s="98"/>
      <c r="D254" s="98"/>
      <c r="E254" s="121"/>
      <c r="F254" s="98"/>
      <c r="G254" s="98"/>
      <c r="H254" s="98"/>
      <c r="I254" s="98"/>
      <c r="J254" s="98"/>
      <c r="K254" s="98"/>
      <c r="L254" s="98"/>
      <c r="M254" s="98"/>
      <c r="N254" s="98"/>
      <c r="O254" s="98"/>
      <c r="P254" s="98"/>
      <c r="Q254" s="98"/>
      <c r="R254" s="98"/>
      <c r="S254" s="98"/>
      <c r="T254" s="98"/>
      <c r="U254" s="98"/>
      <c r="V254" s="98"/>
      <c r="W254" s="98"/>
      <c r="X254" s="98"/>
      <c r="Y254" s="98"/>
      <c r="Z254" s="98"/>
      <c r="AA254" s="98"/>
      <c r="AB254" s="98"/>
      <c r="AC254" s="98"/>
    </row>
    <row r="255">
      <c r="A255" s="98"/>
      <c r="B255" s="98"/>
      <c r="C255" s="98"/>
      <c r="D255" s="98"/>
      <c r="E255" s="121"/>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row>
    <row r="256">
      <c r="A256" s="98"/>
      <c r="B256" s="98"/>
      <c r="C256" s="98"/>
      <c r="D256" s="98"/>
      <c r="E256" s="121"/>
      <c r="F256" s="98"/>
      <c r="G256" s="98"/>
      <c r="H256" s="98"/>
      <c r="I256" s="98"/>
      <c r="J256" s="98"/>
      <c r="K256" s="98"/>
      <c r="L256" s="98"/>
      <c r="M256" s="98"/>
      <c r="N256" s="98"/>
      <c r="O256" s="98"/>
      <c r="P256" s="98"/>
      <c r="Q256" s="98"/>
      <c r="R256" s="98"/>
      <c r="S256" s="98"/>
      <c r="T256" s="98"/>
      <c r="U256" s="98"/>
      <c r="V256" s="98"/>
      <c r="W256" s="98"/>
      <c r="X256" s="98"/>
      <c r="Y256" s="98"/>
      <c r="Z256" s="98"/>
      <c r="AA256" s="98"/>
      <c r="AB256" s="98"/>
      <c r="AC256" s="98"/>
    </row>
    <row r="257">
      <c r="A257" s="98"/>
      <c r="B257" s="98"/>
      <c r="C257" s="98"/>
      <c r="D257" s="98"/>
      <c r="E257" s="121"/>
      <c r="F257" s="98"/>
      <c r="G257" s="98"/>
      <c r="H257" s="98"/>
      <c r="I257" s="98"/>
      <c r="J257" s="98"/>
      <c r="K257" s="98"/>
      <c r="L257" s="98"/>
      <c r="M257" s="98"/>
      <c r="N257" s="98"/>
      <c r="O257" s="98"/>
      <c r="P257" s="98"/>
      <c r="Q257" s="98"/>
      <c r="R257" s="98"/>
      <c r="S257" s="98"/>
      <c r="T257" s="98"/>
      <c r="U257" s="98"/>
      <c r="V257" s="98"/>
      <c r="W257" s="98"/>
      <c r="X257" s="98"/>
      <c r="Y257" s="98"/>
      <c r="Z257" s="98"/>
      <c r="AA257" s="98"/>
      <c r="AB257" s="98"/>
      <c r="AC257" s="98"/>
    </row>
    <row r="258">
      <c r="A258" s="98"/>
      <c r="B258" s="98"/>
      <c r="C258" s="98"/>
      <c r="D258" s="98"/>
      <c r="E258" s="121"/>
      <c r="F258" s="98"/>
      <c r="G258" s="98"/>
      <c r="H258" s="98"/>
      <c r="I258" s="98"/>
      <c r="J258" s="98"/>
      <c r="K258" s="98"/>
      <c r="L258" s="98"/>
      <c r="M258" s="98"/>
      <c r="N258" s="98"/>
      <c r="O258" s="98"/>
      <c r="P258" s="98"/>
      <c r="Q258" s="98"/>
      <c r="R258" s="98"/>
      <c r="S258" s="98"/>
      <c r="T258" s="98"/>
      <c r="U258" s="98"/>
      <c r="V258" s="98"/>
      <c r="W258" s="98"/>
      <c r="X258" s="98"/>
      <c r="Y258" s="98"/>
      <c r="Z258" s="98"/>
      <c r="AA258" s="98"/>
      <c r="AB258" s="98"/>
      <c r="AC258" s="98"/>
    </row>
    <row r="259">
      <c r="A259" s="98"/>
      <c r="B259" s="98"/>
      <c r="C259" s="98"/>
      <c r="D259" s="98"/>
      <c r="E259" s="121"/>
      <c r="F259" s="98"/>
      <c r="G259" s="98"/>
      <c r="H259" s="98"/>
      <c r="I259" s="98"/>
      <c r="J259" s="98"/>
      <c r="K259" s="98"/>
      <c r="L259" s="98"/>
      <c r="M259" s="98"/>
      <c r="N259" s="98"/>
      <c r="O259" s="98"/>
      <c r="P259" s="98"/>
      <c r="Q259" s="98"/>
      <c r="R259" s="98"/>
      <c r="S259" s="98"/>
      <c r="T259" s="98"/>
      <c r="U259" s="98"/>
      <c r="V259" s="98"/>
      <c r="W259" s="98"/>
      <c r="X259" s="98"/>
      <c r="Y259" s="98"/>
      <c r="Z259" s="98"/>
      <c r="AA259" s="98"/>
      <c r="AB259" s="98"/>
      <c r="AC259" s="98"/>
    </row>
    <row r="260">
      <c r="A260" s="98"/>
      <c r="B260" s="98"/>
      <c r="C260" s="98"/>
      <c r="D260" s="98"/>
      <c r="E260" s="121"/>
      <c r="F260" s="98"/>
      <c r="G260" s="98"/>
      <c r="H260" s="98"/>
      <c r="I260" s="98"/>
      <c r="J260" s="98"/>
      <c r="K260" s="98"/>
      <c r="L260" s="98"/>
      <c r="M260" s="98"/>
      <c r="N260" s="98"/>
      <c r="O260" s="98"/>
      <c r="P260" s="98"/>
      <c r="Q260" s="98"/>
      <c r="R260" s="98"/>
      <c r="S260" s="98"/>
      <c r="T260" s="98"/>
      <c r="U260" s="98"/>
      <c r="V260" s="98"/>
      <c r="W260" s="98"/>
      <c r="X260" s="98"/>
      <c r="Y260" s="98"/>
      <c r="Z260" s="98"/>
      <c r="AA260" s="98"/>
      <c r="AB260" s="98"/>
      <c r="AC260" s="98"/>
    </row>
    <row r="261">
      <c r="A261" s="98"/>
      <c r="B261" s="98"/>
      <c r="C261" s="98"/>
      <c r="D261" s="98"/>
      <c r="E261" s="121"/>
      <c r="F261" s="98"/>
      <c r="G261" s="98"/>
      <c r="H261" s="98"/>
      <c r="I261" s="98"/>
      <c r="J261" s="98"/>
      <c r="K261" s="98"/>
      <c r="L261" s="98"/>
      <c r="M261" s="98"/>
      <c r="N261" s="98"/>
      <c r="O261" s="98"/>
      <c r="P261" s="98"/>
      <c r="Q261" s="98"/>
      <c r="R261" s="98"/>
      <c r="S261" s="98"/>
      <c r="T261" s="98"/>
      <c r="U261" s="98"/>
      <c r="V261" s="98"/>
      <c r="W261" s="98"/>
      <c r="X261" s="98"/>
      <c r="Y261" s="98"/>
      <c r="Z261" s="98"/>
      <c r="AA261" s="98"/>
      <c r="AB261" s="98"/>
      <c r="AC261" s="98"/>
    </row>
    <row r="262">
      <c r="A262" s="98"/>
      <c r="B262" s="98"/>
      <c r="C262" s="98"/>
      <c r="D262" s="98"/>
      <c r="E262" s="121"/>
      <c r="F262" s="98"/>
      <c r="G262" s="98"/>
      <c r="H262" s="98"/>
      <c r="I262" s="98"/>
      <c r="J262" s="98"/>
      <c r="K262" s="98"/>
      <c r="L262" s="98"/>
      <c r="M262" s="98"/>
      <c r="N262" s="98"/>
      <c r="O262" s="98"/>
      <c r="P262" s="98"/>
      <c r="Q262" s="98"/>
      <c r="R262" s="98"/>
      <c r="S262" s="98"/>
      <c r="T262" s="98"/>
      <c r="U262" s="98"/>
      <c r="V262" s="98"/>
      <c r="W262" s="98"/>
      <c r="X262" s="98"/>
      <c r="Y262" s="98"/>
      <c r="Z262" s="98"/>
      <c r="AA262" s="98"/>
      <c r="AB262" s="98"/>
      <c r="AC262" s="98"/>
    </row>
    <row r="263">
      <c r="A263" s="98"/>
      <c r="B263" s="98"/>
      <c r="C263" s="98"/>
      <c r="D263" s="98"/>
      <c r="E263" s="121"/>
      <c r="F263" s="98"/>
      <c r="G263" s="98"/>
      <c r="H263" s="98"/>
      <c r="I263" s="98"/>
      <c r="J263" s="98"/>
      <c r="K263" s="98"/>
      <c r="L263" s="98"/>
      <c r="M263" s="98"/>
      <c r="N263" s="98"/>
      <c r="O263" s="98"/>
      <c r="P263" s="98"/>
      <c r="Q263" s="98"/>
      <c r="R263" s="98"/>
      <c r="S263" s="98"/>
      <c r="T263" s="98"/>
      <c r="U263" s="98"/>
      <c r="V263" s="98"/>
      <c r="W263" s="98"/>
      <c r="X263" s="98"/>
      <c r="Y263" s="98"/>
      <c r="Z263" s="98"/>
      <c r="AA263" s="98"/>
      <c r="AB263" s="98"/>
      <c r="AC263" s="98"/>
    </row>
    <row r="264">
      <c r="A264" s="98"/>
      <c r="B264" s="98"/>
      <c r="C264" s="98"/>
      <c r="D264" s="98"/>
      <c r="E264" s="121"/>
      <c r="F264" s="98"/>
      <c r="G264" s="98"/>
      <c r="H264" s="98"/>
      <c r="I264" s="98"/>
      <c r="J264" s="98"/>
      <c r="K264" s="98"/>
      <c r="L264" s="98"/>
      <c r="M264" s="98"/>
      <c r="N264" s="98"/>
      <c r="O264" s="98"/>
      <c r="P264" s="98"/>
      <c r="Q264" s="98"/>
      <c r="R264" s="98"/>
      <c r="S264" s="98"/>
      <c r="T264" s="98"/>
      <c r="U264" s="98"/>
      <c r="V264" s="98"/>
      <c r="W264" s="98"/>
      <c r="X264" s="98"/>
      <c r="Y264" s="98"/>
      <c r="Z264" s="98"/>
      <c r="AA264" s="98"/>
      <c r="AB264" s="98"/>
      <c r="AC264" s="98"/>
    </row>
    <row r="265">
      <c r="A265" s="98"/>
      <c r="B265" s="98"/>
      <c r="C265" s="98"/>
      <c r="D265" s="98"/>
      <c r="E265" s="121"/>
      <c r="F265" s="98"/>
      <c r="G265" s="98"/>
      <c r="H265" s="98"/>
      <c r="I265" s="98"/>
      <c r="J265" s="98"/>
      <c r="K265" s="98"/>
      <c r="L265" s="98"/>
      <c r="M265" s="98"/>
      <c r="N265" s="98"/>
      <c r="O265" s="98"/>
      <c r="P265" s="98"/>
      <c r="Q265" s="98"/>
      <c r="R265" s="98"/>
      <c r="S265" s="98"/>
      <c r="T265" s="98"/>
      <c r="U265" s="98"/>
      <c r="V265" s="98"/>
      <c r="W265" s="98"/>
      <c r="X265" s="98"/>
      <c r="Y265" s="98"/>
      <c r="Z265" s="98"/>
      <c r="AA265" s="98"/>
      <c r="AB265" s="98"/>
      <c r="AC265" s="98"/>
    </row>
    <row r="266">
      <c r="A266" s="98"/>
      <c r="B266" s="98"/>
      <c r="C266" s="98"/>
      <c r="D266" s="98"/>
      <c r="E266" s="121"/>
      <c r="F266" s="98"/>
      <c r="G266" s="98"/>
      <c r="H266" s="98"/>
      <c r="I266" s="98"/>
      <c r="J266" s="98"/>
      <c r="K266" s="98"/>
      <c r="L266" s="98"/>
      <c r="M266" s="98"/>
      <c r="N266" s="98"/>
      <c r="O266" s="98"/>
      <c r="P266" s="98"/>
      <c r="Q266" s="98"/>
      <c r="R266" s="98"/>
      <c r="S266" s="98"/>
      <c r="T266" s="98"/>
      <c r="U266" s="98"/>
      <c r="V266" s="98"/>
      <c r="W266" s="98"/>
      <c r="X266" s="98"/>
      <c r="Y266" s="98"/>
      <c r="Z266" s="98"/>
      <c r="AA266" s="98"/>
      <c r="AB266" s="98"/>
      <c r="AC266" s="98"/>
    </row>
    <row r="267">
      <c r="A267" s="98"/>
      <c r="B267" s="98"/>
      <c r="C267" s="98"/>
      <c r="D267" s="98"/>
      <c r="E267" s="121"/>
      <c r="F267" s="98"/>
      <c r="G267" s="98"/>
      <c r="H267" s="98"/>
      <c r="I267" s="98"/>
      <c r="J267" s="98"/>
      <c r="K267" s="98"/>
      <c r="L267" s="98"/>
      <c r="M267" s="98"/>
      <c r="N267" s="98"/>
      <c r="O267" s="98"/>
      <c r="P267" s="98"/>
      <c r="Q267" s="98"/>
      <c r="R267" s="98"/>
      <c r="S267" s="98"/>
      <c r="T267" s="98"/>
      <c r="U267" s="98"/>
      <c r="V267" s="98"/>
      <c r="W267" s="98"/>
      <c r="X267" s="98"/>
      <c r="Y267" s="98"/>
      <c r="Z267" s="98"/>
      <c r="AA267" s="98"/>
      <c r="AB267" s="98"/>
      <c r="AC267" s="98"/>
    </row>
    <row r="268">
      <c r="A268" s="98"/>
      <c r="B268" s="98"/>
      <c r="C268" s="98"/>
      <c r="D268" s="98"/>
      <c r="E268" s="121"/>
      <c r="F268" s="98"/>
      <c r="G268" s="98"/>
      <c r="H268" s="98"/>
      <c r="I268" s="98"/>
      <c r="J268" s="98"/>
      <c r="K268" s="98"/>
      <c r="L268" s="98"/>
      <c r="M268" s="98"/>
      <c r="N268" s="98"/>
      <c r="O268" s="98"/>
      <c r="P268" s="98"/>
      <c r="Q268" s="98"/>
      <c r="R268" s="98"/>
      <c r="S268" s="98"/>
      <c r="T268" s="98"/>
      <c r="U268" s="98"/>
      <c r="V268" s="98"/>
      <c r="W268" s="98"/>
      <c r="X268" s="98"/>
      <c r="Y268" s="98"/>
      <c r="Z268" s="98"/>
      <c r="AA268" s="98"/>
      <c r="AB268" s="98"/>
      <c r="AC268" s="98"/>
    </row>
    <row r="269">
      <c r="A269" s="98"/>
      <c r="B269" s="98"/>
      <c r="C269" s="98"/>
      <c r="D269" s="98"/>
      <c r="E269" s="121"/>
      <c r="F269" s="98"/>
      <c r="G269" s="98"/>
      <c r="H269" s="98"/>
      <c r="I269" s="98"/>
      <c r="J269" s="98"/>
      <c r="K269" s="98"/>
      <c r="L269" s="98"/>
      <c r="M269" s="98"/>
      <c r="N269" s="98"/>
      <c r="O269" s="98"/>
      <c r="P269" s="98"/>
      <c r="Q269" s="98"/>
      <c r="R269" s="98"/>
      <c r="S269" s="98"/>
      <c r="T269" s="98"/>
      <c r="U269" s="98"/>
      <c r="V269" s="98"/>
      <c r="W269" s="98"/>
      <c r="X269" s="98"/>
      <c r="Y269" s="98"/>
      <c r="Z269" s="98"/>
      <c r="AA269" s="98"/>
      <c r="AB269" s="98"/>
      <c r="AC269" s="98"/>
    </row>
    <row r="270">
      <c r="A270" s="98"/>
      <c r="B270" s="98"/>
      <c r="C270" s="98"/>
      <c r="D270" s="98"/>
      <c r="E270" s="121"/>
      <c r="F270" s="98"/>
      <c r="G270" s="98"/>
      <c r="H270" s="98"/>
      <c r="I270" s="98"/>
      <c r="J270" s="98"/>
      <c r="K270" s="98"/>
      <c r="L270" s="98"/>
      <c r="M270" s="98"/>
      <c r="N270" s="98"/>
      <c r="O270" s="98"/>
      <c r="P270" s="98"/>
      <c r="Q270" s="98"/>
      <c r="R270" s="98"/>
      <c r="S270" s="98"/>
      <c r="T270" s="98"/>
      <c r="U270" s="98"/>
      <c r="V270" s="98"/>
      <c r="W270" s="98"/>
      <c r="X270" s="98"/>
      <c r="Y270" s="98"/>
      <c r="Z270" s="98"/>
      <c r="AA270" s="98"/>
      <c r="AB270" s="98"/>
      <c r="AC270" s="98"/>
    </row>
    <row r="271">
      <c r="A271" s="98"/>
      <c r="B271" s="98"/>
      <c r="C271" s="98"/>
      <c r="D271" s="98"/>
      <c r="E271" s="121"/>
      <c r="F271" s="98"/>
      <c r="G271" s="98"/>
      <c r="H271" s="98"/>
      <c r="I271" s="98"/>
      <c r="J271" s="98"/>
      <c r="K271" s="98"/>
      <c r="L271" s="98"/>
      <c r="M271" s="98"/>
      <c r="N271" s="98"/>
      <c r="O271" s="98"/>
      <c r="P271" s="98"/>
      <c r="Q271" s="98"/>
      <c r="R271" s="98"/>
      <c r="S271" s="98"/>
      <c r="T271" s="98"/>
      <c r="U271" s="98"/>
      <c r="V271" s="98"/>
      <c r="W271" s="98"/>
      <c r="X271" s="98"/>
      <c r="Y271" s="98"/>
      <c r="Z271" s="98"/>
      <c r="AA271" s="98"/>
      <c r="AB271" s="98"/>
      <c r="AC271" s="98"/>
    </row>
    <row r="272">
      <c r="A272" s="98"/>
      <c r="B272" s="98"/>
      <c r="C272" s="98"/>
      <c r="D272" s="98"/>
      <c r="E272" s="121"/>
      <c r="F272" s="98"/>
      <c r="G272" s="98"/>
      <c r="H272" s="98"/>
      <c r="I272" s="98"/>
      <c r="J272" s="98"/>
      <c r="K272" s="98"/>
      <c r="L272" s="98"/>
      <c r="M272" s="98"/>
      <c r="N272" s="98"/>
      <c r="O272" s="98"/>
      <c r="P272" s="98"/>
      <c r="Q272" s="98"/>
      <c r="R272" s="98"/>
      <c r="S272" s="98"/>
      <c r="T272" s="98"/>
      <c r="U272" s="98"/>
      <c r="V272" s="98"/>
      <c r="W272" s="98"/>
      <c r="X272" s="98"/>
      <c r="Y272" s="98"/>
      <c r="Z272" s="98"/>
      <c r="AA272" s="98"/>
      <c r="AB272" s="98"/>
      <c r="AC272" s="98"/>
    </row>
    <row r="273">
      <c r="A273" s="98"/>
      <c r="B273" s="98"/>
      <c r="C273" s="98"/>
      <c r="D273" s="98"/>
      <c r="E273" s="121"/>
      <c r="F273" s="98"/>
      <c r="G273" s="98"/>
      <c r="H273" s="98"/>
      <c r="I273" s="98"/>
      <c r="J273" s="98"/>
      <c r="K273" s="98"/>
      <c r="L273" s="98"/>
      <c r="M273" s="98"/>
      <c r="N273" s="98"/>
      <c r="O273" s="98"/>
      <c r="P273" s="98"/>
      <c r="Q273" s="98"/>
      <c r="R273" s="98"/>
      <c r="S273" s="98"/>
      <c r="T273" s="98"/>
      <c r="U273" s="98"/>
      <c r="V273" s="98"/>
      <c r="W273" s="98"/>
      <c r="X273" s="98"/>
      <c r="Y273" s="98"/>
      <c r="Z273" s="98"/>
      <c r="AA273" s="98"/>
      <c r="AB273" s="98"/>
      <c r="AC273" s="98"/>
    </row>
    <row r="274">
      <c r="A274" s="98"/>
      <c r="B274" s="98"/>
      <c r="C274" s="98"/>
      <c r="D274" s="98"/>
      <c r="E274" s="121"/>
      <c r="F274" s="98"/>
      <c r="G274" s="98"/>
      <c r="H274" s="98"/>
      <c r="I274" s="98"/>
      <c r="J274" s="98"/>
      <c r="K274" s="98"/>
      <c r="L274" s="98"/>
      <c r="M274" s="98"/>
      <c r="N274" s="98"/>
      <c r="O274" s="98"/>
      <c r="P274" s="98"/>
      <c r="Q274" s="98"/>
      <c r="R274" s="98"/>
      <c r="S274" s="98"/>
      <c r="T274" s="98"/>
      <c r="U274" s="98"/>
      <c r="V274" s="98"/>
      <c r="W274" s="98"/>
      <c r="X274" s="98"/>
      <c r="Y274" s="98"/>
      <c r="Z274" s="98"/>
      <c r="AA274" s="98"/>
      <c r="AB274" s="98"/>
      <c r="AC274" s="98"/>
    </row>
    <row r="275">
      <c r="A275" s="98"/>
      <c r="B275" s="98"/>
      <c r="C275" s="98"/>
      <c r="D275" s="98"/>
      <c r="E275" s="121"/>
      <c r="F275" s="98"/>
      <c r="G275" s="98"/>
      <c r="H275" s="98"/>
      <c r="I275" s="98"/>
      <c r="J275" s="98"/>
      <c r="K275" s="98"/>
      <c r="L275" s="98"/>
      <c r="M275" s="98"/>
      <c r="N275" s="98"/>
      <c r="O275" s="98"/>
      <c r="P275" s="98"/>
      <c r="Q275" s="98"/>
      <c r="R275" s="98"/>
      <c r="S275" s="98"/>
      <c r="T275" s="98"/>
      <c r="U275" s="98"/>
      <c r="V275" s="98"/>
      <c r="W275" s="98"/>
      <c r="X275" s="98"/>
      <c r="Y275" s="98"/>
      <c r="Z275" s="98"/>
      <c r="AA275" s="98"/>
      <c r="AB275" s="98"/>
      <c r="AC275" s="98"/>
    </row>
    <row r="276">
      <c r="A276" s="98"/>
      <c r="B276" s="98"/>
      <c r="C276" s="98"/>
      <c r="D276" s="98"/>
      <c r="E276" s="121"/>
      <c r="F276" s="98"/>
      <c r="G276" s="98"/>
      <c r="H276" s="98"/>
      <c r="I276" s="98"/>
      <c r="J276" s="98"/>
      <c r="K276" s="98"/>
      <c r="L276" s="98"/>
      <c r="M276" s="98"/>
      <c r="N276" s="98"/>
      <c r="O276" s="98"/>
      <c r="P276" s="98"/>
      <c r="Q276" s="98"/>
      <c r="R276" s="98"/>
      <c r="S276" s="98"/>
      <c r="T276" s="98"/>
      <c r="U276" s="98"/>
      <c r="V276" s="98"/>
      <c r="W276" s="98"/>
      <c r="X276" s="98"/>
      <c r="Y276" s="98"/>
      <c r="Z276" s="98"/>
      <c r="AA276" s="98"/>
      <c r="AB276" s="98"/>
      <c r="AC276" s="98"/>
    </row>
    <row r="277">
      <c r="A277" s="98"/>
      <c r="B277" s="98"/>
      <c r="C277" s="98"/>
      <c r="D277" s="98"/>
      <c r="E277" s="121"/>
      <c r="F277" s="98"/>
      <c r="G277" s="98"/>
      <c r="H277" s="98"/>
      <c r="I277" s="98"/>
      <c r="J277" s="98"/>
      <c r="K277" s="98"/>
      <c r="L277" s="98"/>
      <c r="M277" s="98"/>
      <c r="N277" s="98"/>
      <c r="O277" s="98"/>
      <c r="P277" s="98"/>
      <c r="Q277" s="98"/>
      <c r="R277" s="98"/>
      <c r="S277" s="98"/>
      <c r="T277" s="98"/>
      <c r="U277" s="98"/>
      <c r="V277" s="98"/>
      <c r="W277" s="98"/>
      <c r="X277" s="98"/>
      <c r="Y277" s="98"/>
      <c r="Z277" s="98"/>
      <c r="AA277" s="98"/>
      <c r="AB277" s="98"/>
      <c r="AC277" s="98"/>
    </row>
    <row r="278">
      <c r="A278" s="98"/>
      <c r="B278" s="98"/>
      <c r="C278" s="98"/>
      <c r="D278" s="98"/>
      <c r="E278" s="121"/>
      <c r="F278" s="98"/>
      <c r="G278" s="98"/>
      <c r="H278" s="98"/>
      <c r="I278" s="98"/>
      <c r="J278" s="98"/>
      <c r="K278" s="98"/>
      <c r="L278" s="98"/>
      <c r="M278" s="98"/>
      <c r="N278" s="98"/>
      <c r="O278" s="98"/>
      <c r="P278" s="98"/>
      <c r="Q278" s="98"/>
      <c r="R278" s="98"/>
      <c r="S278" s="98"/>
      <c r="T278" s="98"/>
      <c r="U278" s="98"/>
      <c r="V278" s="98"/>
      <c r="W278" s="98"/>
      <c r="X278" s="98"/>
      <c r="Y278" s="98"/>
      <c r="Z278" s="98"/>
      <c r="AA278" s="98"/>
      <c r="AB278" s="98"/>
      <c r="AC278" s="98"/>
    </row>
    <row r="279">
      <c r="A279" s="98"/>
      <c r="B279" s="98"/>
      <c r="C279" s="98"/>
      <c r="D279" s="98"/>
      <c r="E279" s="121"/>
      <c r="F279" s="98"/>
      <c r="G279" s="98"/>
      <c r="H279" s="98"/>
      <c r="I279" s="98"/>
      <c r="J279" s="98"/>
      <c r="K279" s="98"/>
      <c r="L279" s="98"/>
      <c r="M279" s="98"/>
      <c r="N279" s="98"/>
      <c r="O279" s="98"/>
      <c r="P279" s="98"/>
      <c r="Q279" s="98"/>
      <c r="R279" s="98"/>
      <c r="S279" s="98"/>
      <c r="T279" s="98"/>
      <c r="U279" s="98"/>
      <c r="V279" s="98"/>
      <c r="W279" s="98"/>
      <c r="X279" s="98"/>
      <c r="Y279" s="98"/>
      <c r="Z279" s="98"/>
      <c r="AA279" s="98"/>
      <c r="AB279" s="98"/>
      <c r="AC279" s="98"/>
    </row>
    <row r="280">
      <c r="A280" s="98"/>
      <c r="B280" s="98"/>
      <c r="C280" s="98"/>
      <c r="D280" s="98"/>
      <c r="E280" s="121"/>
      <c r="F280" s="98"/>
      <c r="G280" s="98"/>
      <c r="H280" s="98"/>
      <c r="I280" s="98"/>
      <c r="J280" s="98"/>
      <c r="K280" s="98"/>
      <c r="L280" s="98"/>
      <c r="M280" s="98"/>
      <c r="N280" s="98"/>
      <c r="O280" s="98"/>
      <c r="P280" s="98"/>
      <c r="Q280" s="98"/>
      <c r="R280" s="98"/>
      <c r="S280" s="98"/>
      <c r="T280" s="98"/>
      <c r="U280" s="98"/>
      <c r="V280" s="98"/>
      <c r="W280" s="98"/>
      <c r="X280" s="98"/>
      <c r="Y280" s="98"/>
      <c r="Z280" s="98"/>
      <c r="AA280" s="98"/>
      <c r="AB280" s="98"/>
      <c r="AC280" s="98"/>
    </row>
    <row r="281">
      <c r="A281" s="98"/>
      <c r="B281" s="98"/>
      <c r="C281" s="98"/>
      <c r="D281" s="98"/>
      <c r="E281" s="121"/>
      <c r="F281" s="98"/>
      <c r="G281" s="98"/>
      <c r="H281" s="98"/>
      <c r="I281" s="98"/>
      <c r="J281" s="98"/>
      <c r="K281" s="98"/>
      <c r="L281" s="98"/>
      <c r="M281" s="98"/>
      <c r="N281" s="98"/>
      <c r="O281" s="98"/>
      <c r="P281" s="98"/>
      <c r="Q281" s="98"/>
      <c r="R281" s="98"/>
      <c r="S281" s="98"/>
      <c r="T281" s="98"/>
      <c r="U281" s="98"/>
      <c r="V281" s="98"/>
      <c r="W281" s="98"/>
      <c r="X281" s="98"/>
      <c r="Y281" s="98"/>
      <c r="Z281" s="98"/>
      <c r="AA281" s="98"/>
      <c r="AB281" s="98"/>
      <c r="AC281" s="98"/>
    </row>
    <row r="282">
      <c r="A282" s="98"/>
      <c r="B282" s="98"/>
      <c r="C282" s="98"/>
      <c r="D282" s="98"/>
      <c r="E282" s="121"/>
      <c r="F282" s="98"/>
      <c r="G282" s="98"/>
      <c r="H282" s="98"/>
      <c r="I282" s="98"/>
      <c r="J282" s="98"/>
      <c r="K282" s="98"/>
      <c r="L282" s="98"/>
      <c r="M282" s="98"/>
      <c r="N282" s="98"/>
      <c r="O282" s="98"/>
      <c r="P282" s="98"/>
      <c r="Q282" s="98"/>
      <c r="R282" s="98"/>
      <c r="S282" s="98"/>
      <c r="T282" s="98"/>
      <c r="U282" s="98"/>
      <c r="V282" s="98"/>
      <c r="W282" s="98"/>
      <c r="X282" s="98"/>
      <c r="Y282" s="98"/>
      <c r="Z282" s="98"/>
      <c r="AA282" s="98"/>
      <c r="AB282" s="98"/>
      <c r="AC282" s="98"/>
    </row>
    <row r="283">
      <c r="A283" s="98"/>
      <c r="B283" s="98"/>
      <c r="C283" s="98"/>
      <c r="D283" s="98"/>
      <c r="E283" s="121"/>
      <c r="F283" s="98"/>
      <c r="G283" s="98"/>
      <c r="H283" s="98"/>
      <c r="I283" s="98"/>
      <c r="J283" s="98"/>
      <c r="K283" s="98"/>
      <c r="L283" s="98"/>
      <c r="M283" s="98"/>
      <c r="N283" s="98"/>
      <c r="O283" s="98"/>
      <c r="P283" s="98"/>
      <c r="Q283" s="98"/>
      <c r="R283" s="98"/>
      <c r="S283" s="98"/>
      <c r="T283" s="98"/>
      <c r="U283" s="98"/>
      <c r="V283" s="98"/>
      <c r="W283" s="98"/>
      <c r="X283" s="98"/>
      <c r="Y283" s="98"/>
      <c r="Z283" s="98"/>
      <c r="AA283" s="98"/>
      <c r="AB283" s="98"/>
      <c r="AC283" s="98"/>
    </row>
    <row r="284">
      <c r="A284" s="98"/>
      <c r="B284" s="98"/>
      <c r="C284" s="98"/>
      <c r="D284" s="98"/>
      <c r="E284" s="121"/>
      <c r="F284" s="98"/>
      <c r="G284" s="98"/>
      <c r="H284" s="98"/>
      <c r="I284" s="98"/>
      <c r="J284" s="98"/>
      <c r="K284" s="98"/>
      <c r="L284" s="98"/>
      <c r="M284" s="98"/>
      <c r="N284" s="98"/>
      <c r="O284" s="98"/>
      <c r="P284" s="98"/>
      <c r="Q284" s="98"/>
      <c r="R284" s="98"/>
      <c r="S284" s="98"/>
      <c r="T284" s="98"/>
      <c r="U284" s="98"/>
      <c r="V284" s="98"/>
      <c r="W284" s="98"/>
      <c r="X284" s="98"/>
      <c r="Y284" s="98"/>
      <c r="Z284" s="98"/>
      <c r="AA284" s="98"/>
      <c r="AB284" s="98"/>
      <c r="AC284" s="98"/>
    </row>
    <row r="285">
      <c r="A285" s="98"/>
      <c r="B285" s="98"/>
      <c r="C285" s="98"/>
      <c r="D285" s="98"/>
      <c r="E285" s="121"/>
      <c r="F285" s="98"/>
      <c r="G285" s="98"/>
      <c r="H285" s="98"/>
      <c r="I285" s="98"/>
      <c r="J285" s="98"/>
      <c r="K285" s="98"/>
      <c r="L285" s="98"/>
      <c r="M285" s="98"/>
      <c r="N285" s="98"/>
      <c r="O285" s="98"/>
      <c r="P285" s="98"/>
      <c r="Q285" s="98"/>
      <c r="R285" s="98"/>
      <c r="S285" s="98"/>
      <c r="T285" s="98"/>
      <c r="U285" s="98"/>
      <c r="V285" s="98"/>
      <c r="W285" s="98"/>
      <c r="X285" s="98"/>
      <c r="Y285" s="98"/>
      <c r="Z285" s="98"/>
      <c r="AA285" s="98"/>
      <c r="AB285" s="98"/>
      <c r="AC285" s="98"/>
    </row>
    <row r="286">
      <c r="A286" s="98"/>
      <c r="B286" s="98"/>
      <c r="C286" s="98"/>
      <c r="D286" s="98"/>
      <c r="E286" s="121"/>
      <c r="F286" s="98"/>
      <c r="G286" s="98"/>
      <c r="H286" s="98"/>
      <c r="I286" s="98"/>
      <c r="J286" s="98"/>
      <c r="K286" s="98"/>
      <c r="L286" s="98"/>
      <c r="M286" s="98"/>
      <c r="N286" s="98"/>
      <c r="O286" s="98"/>
      <c r="P286" s="98"/>
      <c r="Q286" s="98"/>
      <c r="R286" s="98"/>
      <c r="S286" s="98"/>
      <c r="T286" s="98"/>
      <c r="U286" s="98"/>
      <c r="V286" s="98"/>
      <c r="W286" s="98"/>
      <c r="X286" s="98"/>
      <c r="Y286" s="98"/>
      <c r="Z286" s="98"/>
      <c r="AA286" s="98"/>
      <c r="AB286" s="98"/>
      <c r="AC286" s="98"/>
    </row>
    <row r="287">
      <c r="A287" s="98"/>
      <c r="B287" s="98"/>
      <c r="C287" s="98"/>
      <c r="D287" s="98"/>
      <c r="E287" s="121"/>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row>
    <row r="288">
      <c r="A288" s="98"/>
      <c r="B288" s="98"/>
      <c r="C288" s="98"/>
      <c r="D288" s="98"/>
      <c r="E288" s="121"/>
      <c r="F288" s="98"/>
      <c r="G288" s="98"/>
      <c r="H288" s="98"/>
      <c r="I288" s="98"/>
      <c r="J288" s="98"/>
      <c r="K288" s="98"/>
      <c r="L288" s="98"/>
      <c r="M288" s="98"/>
      <c r="N288" s="98"/>
      <c r="O288" s="98"/>
      <c r="P288" s="98"/>
      <c r="Q288" s="98"/>
      <c r="R288" s="98"/>
      <c r="S288" s="98"/>
      <c r="T288" s="98"/>
      <c r="U288" s="98"/>
      <c r="V288" s="98"/>
      <c r="W288" s="98"/>
      <c r="X288" s="98"/>
      <c r="Y288" s="98"/>
      <c r="Z288" s="98"/>
      <c r="AA288" s="98"/>
      <c r="AB288" s="98"/>
      <c r="AC288" s="98"/>
    </row>
    <row r="289">
      <c r="A289" s="98"/>
      <c r="B289" s="98"/>
      <c r="C289" s="98"/>
      <c r="D289" s="98"/>
      <c r="E289" s="121"/>
      <c r="F289" s="98"/>
      <c r="G289" s="98"/>
      <c r="H289" s="98"/>
      <c r="I289" s="98"/>
      <c r="J289" s="98"/>
      <c r="K289" s="98"/>
      <c r="L289" s="98"/>
      <c r="M289" s="98"/>
      <c r="N289" s="98"/>
      <c r="O289" s="98"/>
      <c r="P289" s="98"/>
      <c r="Q289" s="98"/>
      <c r="R289" s="98"/>
      <c r="S289" s="98"/>
      <c r="T289" s="98"/>
      <c r="U289" s="98"/>
      <c r="V289" s="98"/>
      <c r="W289" s="98"/>
      <c r="X289" s="98"/>
      <c r="Y289" s="98"/>
      <c r="Z289" s="98"/>
      <c r="AA289" s="98"/>
      <c r="AB289" s="98"/>
      <c r="AC289" s="98"/>
    </row>
    <row r="290">
      <c r="A290" s="98"/>
      <c r="B290" s="98"/>
      <c r="C290" s="98"/>
      <c r="D290" s="98"/>
      <c r="E290" s="121"/>
      <c r="F290" s="98"/>
      <c r="G290" s="98"/>
      <c r="H290" s="98"/>
      <c r="I290" s="98"/>
      <c r="J290" s="98"/>
      <c r="K290" s="98"/>
      <c r="L290" s="98"/>
      <c r="M290" s="98"/>
      <c r="N290" s="98"/>
      <c r="O290" s="98"/>
      <c r="P290" s="98"/>
      <c r="Q290" s="98"/>
      <c r="R290" s="98"/>
      <c r="S290" s="98"/>
      <c r="T290" s="98"/>
      <c r="U290" s="98"/>
      <c r="V290" s="98"/>
      <c r="W290" s="98"/>
      <c r="X290" s="98"/>
      <c r="Y290" s="98"/>
      <c r="Z290" s="98"/>
      <c r="AA290" s="98"/>
      <c r="AB290" s="98"/>
      <c r="AC290" s="98"/>
    </row>
    <row r="291">
      <c r="A291" s="98"/>
      <c r="B291" s="98"/>
      <c r="C291" s="98"/>
      <c r="D291" s="98"/>
      <c r="E291" s="121"/>
      <c r="F291" s="98"/>
      <c r="G291" s="98"/>
      <c r="H291" s="98"/>
      <c r="I291" s="98"/>
      <c r="J291" s="98"/>
      <c r="K291" s="98"/>
      <c r="L291" s="98"/>
      <c r="M291" s="98"/>
      <c r="N291" s="98"/>
      <c r="O291" s="98"/>
      <c r="P291" s="98"/>
      <c r="Q291" s="98"/>
      <c r="R291" s="98"/>
      <c r="S291" s="98"/>
      <c r="T291" s="98"/>
      <c r="U291" s="98"/>
      <c r="V291" s="98"/>
      <c r="W291" s="98"/>
      <c r="X291" s="98"/>
      <c r="Y291" s="98"/>
      <c r="Z291" s="98"/>
      <c r="AA291" s="98"/>
      <c r="AB291" s="98"/>
      <c r="AC291" s="98"/>
    </row>
    <row r="292">
      <c r="A292" s="98"/>
      <c r="B292" s="98"/>
      <c r="C292" s="98"/>
      <c r="D292" s="98"/>
      <c r="E292" s="121"/>
      <c r="F292" s="98"/>
      <c r="G292" s="98"/>
      <c r="H292" s="98"/>
      <c r="I292" s="98"/>
      <c r="J292" s="98"/>
      <c r="K292" s="98"/>
      <c r="L292" s="98"/>
      <c r="M292" s="98"/>
      <c r="N292" s="98"/>
      <c r="O292" s="98"/>
      <c r="P292" s="98"/>
      <c r="Q292" s="98"/>
      <c r="R292" s="98"/>
      <c r="S292" s="98"/>
      <c r="T292" s="98"/>
      <c r="U292" s="98"/>
      <c r="V292" s="98"/>
      <c r="W292" s="98"/>
      <c r="X292" s="98"/>
      <c r="Y292" s="98"/>
      <c r="Z292" s="98"/>
      <c r="AA292" s="98"/>
      <c r="AB292" s="98"/>
      <c r="AC292" s="98"/>
    </row>
    <row r="293">
      <c r="A293" s="98"/>
      <c r="B293" s="98"/>
      <c r="C293" s="98"/>
      <c r="D293" s="98"/>
      <c r="E293" s="121"/>
      <c r="F293" s="98"/>
      <c r="G293" s="98"/>
      <c r="H293" s="98"/>
      <c r="I293" s="98"/>
      <c r="J293" s="98"/>
      <c r="K293" s="98"/>
      <c r="L293" s="98"/>
      <c r="M293" s="98"/>
      <c r="N293" s="98"/>
      <c r="O293" s="98"/>
      <c r="P293" s="98"/>
      <c r="Q293" s="98"/>
      <c r="R293" s="98"/>
      <c r="S293" s="98"/>
      <c r="T293" s="98"/>
      <c r="U293" s="98"/>
      <c r="V293" s="98"/>
      <c r="W293" s="98"/>
      <c r="X293" s="98"/>
      <c r="Y293" s="98"/>
      <c r="Z293" s="98"/>
      <c r="AA293" s="98"/>
      <c r="AB293" s="98"/>
      <c r="AC293" s="98"/>
    </row>
    <row r="294">
      <c r="A294" s="98"/>
      <c r="B294" s="98"/>
      <c r="C294" s="98"/>
      <c r="D294" s="98"/>
      <c r="E294" s="121"/>
      <c r="F294" s="98"/>
      <c r="G294" s="98"/>
      <c r="H294" s="98"/>
      <c r="I294" s="98"/>
      <c r="J294" s="98"/>
      <c r="K294" s="98"/>
      <c r="L294" s="98"/>
      <c r="M294" s="98"/>
      <c r="N294" s="98"/>
      <c r="O294" s="98"/>
      <c r="P294" s="98"/>
      <c r="Q294" s="98"/>
      <c r="R294" s="98"/>
      <c r="S294" s="98"/>
      <c r="T294" s="98"/>
      <c r="U294" s="98"/>
      <c r="V294" s="98"/>
      <c r="W294" s="98"/>
      <c r="X294" s="98"/>
      <c r="Y294" s="98"/>
      <c r="Z294" s="98"/>
      <c r="AA294" s="98"/>
      <c r="AB294" s="98"/>
      <c r="AC294" s="98"/>
    </row>
    <row r="295">
      <c r="A295" s="98"/>
      <c r="B295" s="98"/>
      <c r="C295" s="98"/>
      <c r="D295" s="98"/>
      <c r="E295" s="121"/>
      <c r="F295" s="98"/>
      <c r="G295" s="98"/>
      <c r="H295" s="98"/>
      <c r="I295" s="98"/>
      <c r="J295" s="98"/>
      <c r="K295" s="98"/>
      <c r="L295" s="98"/>
      <c r="M295" s="98"/>
      <c r="N295" s="98"/>
      <c r="O295" s="98"/>
      <c r="P295" s="98"/>
      <c r="Q295" s="98"/>
      <c r="R295" s="98"/>
      <c r="S295" s="98"/>
      <c r="T295" s="98"/>
      <c r="U295" s="98"/>
      <c r="V295" s="98"/>
      <c r="W295" s="98"/>
      <c r="X295" s="98"/>
      <c r="Y295" s="98"/>
      <c r="Z295" s="98"/>
      <c r="AA295" s="98"/>
      <c r="AB295" s="98"/>
      <c r="AC295" s="98"/>
    </row>
    <row r="296">
      <c r="A296" s="98"/>
      <c r="B296" s="98"/>
      <c r="C296" s="98"/>
      <c r="D296" s="98"/>
      <c r="E296" s="121"/>
      <c r="F296" s="98"/>
      <c r="G296" s="98"/>
      <c r="H296" s="98"/>
      <c r="I296" s="98"/>
      <c r="J296" s="98"/>
      <c r="K296" s="98"/>
      <c r="L296" s="98"/>
      <c r="M296" s="98"/>
      <c r="N296" s="98"/>
      <c r="O296" s="98"/>
      <c r="P296" s="98"/>
      <c r="Q296" s="98"/>
      <c r="R296" s="98"/>
      <c r="S296" s="98"/>
      <c r="T296" s="98"/>
      <c r="U296" s="98"/>
      <c r="V296" s="98"/>
      <c r="W296" s="98"/>
      <c r="X296" s="98"/>
      <c r="Y296" s="98"/>
      <c r="Z296" s="98"/>
      <c r="AA296" s="98"/>
      <c r="AB296" s="98"/>
      <c r="AC296" s="98"/>
    </row>
    <row r="297">
      <c r="A297" s="98"/>
      <c r="B297" s="98"/>
      <c r="C297" s="98"/>
      <c r="D297" s="98"/>
      <c r="E297" s="121"/>
      <c r="F297" s="98"/>
      <c r="G297" s="98"/>
      <c r="H297" s="98"/>
      <c r="I297" s="98"/>
      <c r="J297" s="98"/>
      <c r="K297" s="98"/>
      <c r="L297" s="98"/>
      <c r="M297" s="98"/>
      <c r="N297" s="98"/>
      <c r="O297" s="98"/>
      <c r="P297" s="98"/>
      <c r="Q297" s="98"/>
      <c r="R297" s="98"/>
      <c r="S297" s="98"/>
      <c r="T297" s="98"/>
      <c r="U297" s="98"/>
      <c r="V297" s="98"/>
      <c r="W297" s="98"/>
      <c r="X297" s="98"/>
      <c r="Y297" s="98"/>
      <c r="Z297" s="98"/>
      <c r="AA297" s="98"/>
      <c r="AB297" s="98"/>
      <c r="AC297" s="98"/>
    </row>
    <row r="298">
      <c r="A298" s="98"/>
      <c r="B298" s="98"/>
      <c r="C298" s="98"/>
      <c r="D298" s="98"/>
      <c r="E298" s="121"/>
      <c r="F298" s="98"/>
      <c r="G298" s="98"/>
      <c r="H298" s="98"/>
      <c r="I298" s="98"/>
      <c r="J298" s="98"/>
      <c r="K298" s="98"/>
      <c r="L298" s="98"/>
      <c r="M298" s="98"/>
      <c r="N298" s="98"/>
      <c r="O298" s="98"/>
      <c r="P298" s="98"/>
      <c r="Q298" s="98"/>
      <c r="R298" s="98"/>
      <c r="S298" s="98"/>
      <c r="T298" s="98"/>
      <c r="U298" s="98"/>
      <c r="V298" s="98"/>
      <c r="W298" s="98"/>
      <c r="X298" s="98"/>
      <c r="Y298" s="98"/>
      <c r="Z298" s="98"/>
      <c r="AA298" s="98"/>
      <c r="AB298" s="98"/>
      <c r="AC298" s="98"/>
    </row>
    <row r="299">
      <c r="A299" s="98"/>
      <c r="B299" s="98"/>
      <c r="C299" s="98"/>
      <c r="D299" s="98"/>
      <c r="E299" s="121"/>
      <c r="F299" s="98"/>
      <c r="G299" s="98"/>
      <c r="H299" s="98"/>
      <c r="I299" s="98"/>
      <c r="J299" s="98"/>
      <c r="K299" s="98"/>
      <c r="L299" s="98"/>
      <c r="M299" s="98"/>
      <c r="N299" s="98"/>
      <c r="O299" s="98"/>
      <c r="P299" s="98"/>
      <c r="Q299" s="98"/>
      <c r="R299" s="98"/>
      <c r="S299" s="98"/>
      <c r="T299" s="98"/>
      <c r="U299" s="98"/>
      <c r="V299" s="98"/>
      <c r="W299" s="98"/>
      <c r="X299" s="98"/>
      <c r="Y299" s="98"/>
      <c r="Z299" s="98"/>
      <c r="AA299" s="98"/>
      <c r="AB299" s="98"/>
      <c r="AC299" s="98"/>
    </row>
    <row r="300">
      <c r="A300" s="98"/>
      <c r="B300" s="98"/>
      <c r="C300" s="98"/>
      <c r="D300" s="98"/>
      <c r="E300" s="121"/>
      <c r="F300" s="98"/>
      <c r="G300" s="98"/>
      <c r="H300" s="98"/>
      <c r="I300" s="98"/>
      <c r="J300" s="98"/>
      <c r="K300" s="98"/>
      <c r="L300" s="98"/>
      <c r="M300" s="98"/>
      <c r="N300" s="98"/>
      <c r="O300" s="98"/>
      <c r="P300" s="98"/>
      <c r="Q300" s="98"/>
      <c r="R300" s="98"/>
      <c r="S300" s="98"/>
      <c r="T300" s="98"/>
      <c r="U300" s="98"/>
      <c r="V300" s="98"/>
      <c r="W300" s="98"/>
      <c r="X300" s="98"/>
      <c r="Y300" s="98"/>
      <c r="Z300" s="98"/>
      <c r="AA300" s="98"/>
      <c r="AB300" s="98"/>
      <c r="AC300" s="98"/>
    </row>
    <row r="301">
      <c r="A301" s="98"/>
      <c r="B301" s="98"/>
      <c r="C301" s="98"/>
      <c r="D301" s="98"/>
      <c r="E301" s="121"/>
      <c r="F301" s="98"/>
      <c r="G301" s="98"/>
      <c r="H301" s="98"/>
      <c r="I301" s="98"/>
      <c r="J301" s="98"/>
      <c r="K301" s="98"/>
      <c r="L301" s="98"/>
      <c r="M301" s="98"/>
      <c r="N301" s="98"/>
      <c r="O301" s="98"/>
      <c r="P301" s="98"/>
      <c r="Q301" s="98"/>
      <c r="R301" s="98"/>
      <c r="S301" s="98"/>
      <c r="T301" s="98"/>
      <c r="U301" s="98"/>
      <c r="V301" s="98"/>
      <c r="W301" s="98"/>
      <c r="X301" s="98"/>
      <c r="Y301" s="98"/>
      <c r="Z301" s="98"/>
      <c r="AA301" s="98"/>
      <c r="AB301" s="98"/>
      <c r="AC301" s="98"/>
    </row>
    <row r="302">
      <c r="A302" s="98"/>
      <c r="B302" s="98"/>
      <c r="C302" s="98"/>
      <c r="D302" s="98"/>
      <c r="E302" s="121"/>
      <c r="F302" s="98"/>
      <c r="G302" s="98"/>
      <c r="H302" s="98"/>
      <c r="I302" s="98"/>
      <c r="J302" s="98"/>
      <c r="K302" s="98"/>
      <c r="L302" s="98"/>
      <c r="M302" s="98"/>
      <c r="N302" s="98"/>
      <c r="O302" s="98"/>
      <c r="P302" s="98"/>
      <c r="Q302" s="98"/>
      <c r="R302" s="98"/>
      <c r="S302" s="98"/>
      <c r="T302" s="98"/>
      <c r="U302" s="98"/>
      <c r="V302" s="98"/>
      <c r="W302" s="98"/>
      <c r="X302" s="98"/>
      <c r="Y302" s="98"/>
      <c r="Z302" s="98"/>
      <c r="AA302" s="98"/>
      <c r="AB302" s="98"/>
      <c r="AC302" s="98"/>
    </row>
    <row r="303">
      <c r="A303" s="98"/>
      <c r="B303" s="98"/>
      <c r="C303" s="98"/>
      <c r="D303" s="98"/>
      <c r="E303" s="121"/>
      <c r="F303" s="98"/>
      <c r="G303" s="98"/>
      <c r="H303" s="98"/>
      <c r="I303" s="98"/>
      <c r="J303" s="98"/>
      <c r="K303" s="98"/>
      <c r="L303" s="98"/>
      <c r="M303" s="98"/>
      <c r="N303" s="98"/>
      <c r="O303" s="98"/>
      <c r="P303" s="98"/>
      <c r="Q303" s="98"/>
      <c r="R303" s="98"/>
      <c r="S303" s="98"/>
      <c r="T303" s="98"/>
      <c r="U303" s="98"/>
      <c r="V303" s="98"/>
      <c r="W303" s="98"/>
      <c r="X303" s="98"/>
      <c r="Y303" s="98"/>
      <c r="Z303" s="98"/>
      <c r="AA303" s="98"/>
      <c r="AB303" s="98"/>
      <c r="AC303" s="98"/>
    </row>
    <row r="304">
      <c r="A304" s="98"/>
      <c r="B304" s="98"/>
      <c r="C304" s="98"/>
      <c r="D304" s="98"/>
      <c r="E304" s="121"/>
      <c r="F304" s="98"/>
      <c r="G304" s="98"/>
      <c r="H304" s="98"/>
      <c r="I304" s="98"/>
      <c r="J304" s="98"/>
      <c r="K304" s="98"/>
      <c r="L304" s="98"/>
      <c r="M304" s="98"/>
      <c r="N304" s="98"/>
      <c r="O304" s="98"/>
      <c r="P304" s="98"/>
      <c r="Q304" s="98"/>
      <c r="R304" s="98"/>
      <c r="S304" s="98"/>
      <c r="T304" s="98"/>
      <c r="U304" s="98"/>
      <c r="V304" s="98"/>
      <c r="W304" s="98"/>
      <c r="X304" s="98"/>
      <c r="Y304" s="98"/>
      <c r="Z304" s="98"/>
      <c r="AA304" s="98"/>
      <c r="AB304" s="98"/>
      <c r="AC304" s="98"/>
    </row>
    <row r="305">
      <c r="A305" s="98"/>
      <c r="B305" s="98"/>
      <c r="C305" s="98"/>
      <c r="D305" s="98"/>
      <c r="E305" s="121"/>
      <c r="F305" s="98"/>
      <c r="G305" s="98"/>
      <c r="H305" s="98"/>
      <c r="I305" s="98"/>
      <c r="J305" s="98"/>
      <c r="K305" s="98"/>
      <c r="L305" s="98"/>
      <c r="M305" s="98"/>
      <c r="N305" s="98"/>
      <c r="O305" s="98"/>
      <c r="P305" s="98"/>
      <c r="Q305" s="98"/>
      <c r="R305" s="98"/>
      <c r="S305" s="98"/>
      <c r="T305" s="98"/>
      <c r="U305" s="98"/>
      <c r="V305" s="98"/>
      <c r="W305" s="98"/>
      <c r="X305" s="98"/>
      <c r="Y305" s="98"/>
      <c r="Z305" s="98"/>
      <c r="AA305" s="98"/>
      <c r="AB305" s="98"/>
      <c r="AC305" s="98"/>
    </row>
    <row r="306">
      <c r="A306" s="98"/>
      <c r="B306" s="98"/>
      <c r="C306" s="98"/>
      <c r="D306" s="98"/>
      <c r="E306" s="121"/>
      <c r="F306" s="98"/>
      <c r="G306" s="98"/>
      <c r="H306" s="98"/>
      <c r="I306" s="98"/>
      <c r="J306" s="98"/>
      <c r="K306" s="98"/>
      <c r="L306" s="98"/>
      <c r="M306" s="98"/>
      <c r="N306" s="98"/>
      <c r="O306" s="98"/>
      <c r="P306" s="98"/>
      <c r="Q306" s="98"/>
      <c r="R306" s="98"/>
      <c r="S306" s="98"/>
      <c r="T306" s="98"/>
      <c r="U306" s="98"/>
      <c r="V306" s="98"/>
      <c r="W306" s="98"/>
      <c r="X306" s="98"/>
      <c r="Y306" s="98"/>
      <c r="Z306" s="98"/>
      <c r="AA306" s="98"/>
      <c r="AB306" s="98"/>
      <c r="AC306" s="98"/>
    </row>
    <row r="307">
      <c r="A307" s="98"/>
      <c r="B307" s="98"/>
      <c r="C307" s="98"/>
      <c r="D307" s="98"/>
      <c r="E307" s="121"/>
      <c r="F307" s="98"/>
      <c r="G307" s="98"/>
      <c r="H307" s="98"/>
      <c r="I307" s="98"/>
      <c r="J307" s="98"/>
      <c r="K307" s="98"/>
      <c r="L307" s="98"/>
      <c r="M307" s="98"/>
      <c r="N307" s="98"/>
      <c r="O307" s="98"/>
      <c r="P307" s="98"/>
      <c r="Q307" s="98"/>
      <c r="R307" s="98"/>
      <c r="S307" s="98"/>
      <c r="T307" s="98"/>
      <c r="U307" s="98"/>
      <c r="V307" s="98"/>
      <c r="W307" s="98"/>
      <c r="X307" s="98"/>
      <c r="Y307" s="98"/>
      <c r="Z307" s="98"/>
      <c r="AA307" s="98"/>
      <c r="AB307" s="98"/>
      <c r="AC307" s="98"/>
    </row>
    <row r="308">
      <c r="A308" s="98"/>
      <c r="B308" s="98"/>
      <c r="C308" s="98"/>
      <c r="D308" s="98"/>
      <c r="E308" s="121"/>
      <c r="F308" s="98"/>
      <c r="G308" s="98"/>
      <c r="H308" s="98"/>
      <c r="I308" s="98"/>
      <c r="J308" s="98"/>
      <c r="K308" s="98"/>
      <c r="L308" s="98"/>
      <c r="M308" s="98"/>
      <c r="N308" s="98"/>
      <c r="O308" s="98"/>
      <c r="P308" s="98"/>
      <c r="Q308" s="98"/>
      <c r="R308" s="98"/>
      <c r="S308" s="98"/>
      <c r="T308" s="98"/>
      <c r="U308" s="98"/>
      <c r="V308" s="98"/>
      <c r="W308" s="98"/>
      <c r="X308" s="98"/>
      <c r="Y308" s="98"/>
      <c r="Z308" s="98"/>
      <c r="AA308" s="98"/>
      <c r="AB308" s="98"/>
      <c r="AC308" s="98"/>
    </row>
    <row r="309">
      <c r="A309" s="98"/>
      <c r="B309" s="98"/>
      <c r="C309" s="98"/>
      <c r="D309" s="98"/>
      <c r="E309" s="121"/>
      <c r="F309" s="98"/>
      <c r="G309" s="98"/>
      <c r="H309" s="98"/>
      <c r="I309" s="98"/>
      <c r="J309" s="98"/>
      <c r="K309" s="98"/>
      <c r="L309" s="98"/>
      <c r="M309" s="98"/>
      <c r="N309" s="98"/>
      <c r="O309" s="98"/>
      <c r="P309" s="98"/>
      <c r="Q309" s="98"/>
      <c r="R309" s="98"/>
      <c r="S309" s="98"/>
      <c r="T309" s="98"/>
      <c r="U309" s="98"/>
      <c r="V309" s="98"/>
      <c r="W309" s="98"/>
      <c r="X309" s="98"/>
      <c r="Y309" s="98"/>
      <c r="Z309" s="98"/>
      <c r="AA309" s="98"/>
      <c r="AB309" s="98"/>
      <c r="AC309" s="98"/>
    </row>
    <row r="310">
      <c r="A310" s="98"/>
      <c r="B310" s="98"/>
      <c r="C310" s="98"/>
      <c r="D310" s="98"/>
      <c r="E310" s="121"/>
      <c r="F310" s="98"/>
      <c r="G310" s="98"/>
      <c r="H310" s="98"/>
      <c r="I310" s="98"/>
      <c r="J310" s="98"/>
      <c r="K310" s="98"/>
      <c r="L310" s="98"/>
      <c r="M310" s="98"/>
      <c r="N310" s="98"/>
      <c r="O310" s="98"/>
      <c r="P310" s="98"/>
      <c r="Q310" s="98"/>
      <c r="R310" s="98"/>
      <c r="S310" s="98"/>
      <c r="T310" s="98"/>
      <c r="U310" s="98"/>
      <c r="V310" s="98"/>
      <c r="W310" s="98"/>
      <c r="X310" s="98"/>
      <c r="Y310" s="98"/>
      <c r="Z310" s="98"/>
      <c r="AA310" s="98"/>
      <c r="AB310" s="98"/>
      <c r="AC310" s="98"/>
    </row>
    <row r="311">
      <c r="A311" s="98"/>
      <c r="B311" s="98"/>
      <c r="C311" s="98"/>
      <c r="D311" s="98"/>
      <c r="E311" s="121"/>
      <c r="F311" s="98"/>
      <c r="G311" s="98"/>
      <c r="H311" s="98"/>
      <c r="I311" s="98"/>
      <c r="J311" s="98"/>
      <c r="K311" s="98"/>
      <c r="L311" s="98"/>
      <c r="M311" s="98"/>
      <c r="N311" s="98"/>
      <c r="O311" s="98"/>
      <c r="P311" s="98"/>
      <c r="Q311" s="98"/>
      <c r="R311" s="98"/>
      <c r="S311" s="98"/>
      <c r="T311" s="98"/>
      <c r="U311" s="98"/>
      <c r="V311" s="98"/>
      <c r="W311" s="98"/>
      <c r="X311" s="98"/>
      <c r="Y311" s="98"/>
      <c r="Z311" s="98"/>
      <c r="AA311" s="98"/>
      <c r="AB311" s="98"/>
      <c r="AC311" s="98"/>
    </row>
    <row r="312">
      <c r="A312" s="98"/>
      <c r="B312" s="98"/>
      <c r="C312" s="98"/>
      <c r="D312" s="98"/>
      <c r="E312" s="121"/>
      <c r="F312" s="98"/>
      <c r="G312" s="98"/>
      <c r="H312" s="98"/>
      <c r="I312" s="98"/>
      <c r="J312" s="98"/>
      <c r="K312" s="98"/>
      <c r="L312" s="98"/>
      <c r="M312" s="98"/>
      <c r="N312" s="98"/>
      <c r="O312" s="98"/>
      <c r="P312" s="98"/>
      <c r="Q312" s="98"/>
      <c r="R312" s="98"/>
      <c r="S312" s="98"/>
      <c r="T312" s="98"/>
      <c r="U312" s="98"/>
      <c r="V312" s="98"/>
      <c r="W312" s="98"/>
      <c r="X312" s="98"/>
      <c r="Y312" s="98"/>
      <c r="Z312" s="98"/>
      <c r="AA312" s="98"/>
      <c r="AB312" s="98"/>
      <c r="AC312" s="98"/>
    </row>
    <row r="313">
      <c r="A313" s="98"/>
      <c r="B313" s="98"/>
      <c r="C313" s="98"/>
      <c r="D313" s="98"/>
      <c r="E313" s="121"/>
      <c r="F313" s="98"/>
      <c r="G313" s="98"/>
      <c r="H313" s="98"/>
      <c r="I313" s="98"/>
      <c r="J313" s="98"/>
      <c r="K313" s="98"/>
      <c r="L313" s="98"/>
      <c r="M313" s="98"/>
      <c r="N313" s="98"/>
      <c r="O313" s="98"/>
      <c r="P313" s="98"/>
      <c r="Q313" s="98"/>
      <c r="R313" s="98"/>
      <c r="S313" s="98"/>
      <c r="T313" s="98"/>
      <c r="U313" s="98"/>
      <c r="V313" s="98"/>
      <c r="W313" s="98"/>
      <c r="X313" s="98"/>
      <c r="Y313" s="98"/>
      <c r="Z313" s="98"/>
      <c r="AA313" s="98"/>
      <c r="AB313" s="98"/>
      <c r="AC313" s="98"/>
    </row>
    <row r="314">
      <c r="A314" s="98"/>
      <c r="B314" s="98"/>
      <c r="C314" s="98"/>
      <c r="D314" s="98"/>
      <c r="E314" s="121"/>
      <c r="F314" s="98"/>
      <c r="G314" s="98"/>
      <c r="H314" s="98"/>
      <c r="I314" s="98"/>
      <c r="J314" s="98"/>
      <c r="K314" s="98"/>
      <c r="L314" s="98"/>
      <c r="M314" s="98"/>
      <c r="N314" s="98"/>
      <c r="O314" s="98"/>
      <c r="P314" s="98"/>
      <c r="Q314" s="98"/>
      <c r="R314" s="98"/>
      <c r="S314" s="98"/>
      <c r="T314" s="98"/>
      <c r="U314" s="98"/>
      <c r="V314" s="98"/>
      <c r="W314" s="98"/>
      <c r="X314" s="98"/>
      <c r="Y314" s="98"/>
      <c r="Z314" s="98"/>
      <c r="AA314" s="98"/>
      <c r="AB314" s="98"/>
      <c r="AC314" s="98"/>
    </row>
    <row r="315">
      <c r="A315" s="98"/>
      <c r="B315" s="98"/>
      <c r="C315" s="98"/>
      <c r="D315" s="98"/>
      <c r="E315" s="121"/>
      <c r="F315" s="98"/>
      <c r="G315" s="98"/>
      <c r="H315" s="98"/>
      <c r="I315" s="98"/>
      <c r="J315" s="98"/>
      <c r="K315" s="98"/>
      <c r="L315" s="98"/>
      <c r="M315" s="98"/>
      <c r="N315" s="98"/>
      <c r="O315" s="98"/>
      <c r="P315" s="98"/>
      <c r="Q315" s="98"/>
      <c r="R315" s="98"/>
      <c r="S315" s="98"/>
      <c r="T315" s="98"/>
      <c r="U315" s="98"/>
      <c r="V315" s="98"/>
      <c r="W315" s="98"/>
      <c r="X315" s="98"/>
      <c r="Y315" s="98"/>
      <c r="Z315" s="98"/>
      <c r="AA315" s="98"/>
      <c r="AB315" s="98"/>
      <c r="AC315" s="98"/>
    </row>
    <row r="316">
      <c r="A316" s="98"/>
      <c r="B316" s="98"/>
      <c r="C316" s="98"/>
      <c r="D316" s="98"/>
      <c r="E316" s="121"/>
      <c r="F316" s="98"/>
      <c r="G316" s="98"/>
      <c r="H316" s="98"/>
      <c r="I316" s="98"/>
      <c r="J316" s="98"/>
      <c r="K316" s="98"/>
      <c r="L316" s="98"/>
      <c r="M316" s="98"/>
      <c r="N316" s="98"/>
      <c r="O316" s="98"/>
      <c r="P316" s="98"/>
      <c r="Q316" s="98"/>
      <c r="R316" s="98"/>
      <c r="S316" s="98"/>
      <c r="T316" s="98"/>
      <c r="U316" s="98"/>
      <c r="V316" s="98"/>
      <c r="W316" s="98"/>
      <c r="X316" s="98"/>
      <c r="Y316" s="98"/>
      <c r="Z316" s="98"/>
      <c r="AA316" s="98"/>
      <c r="AB316" s="98"/>
      <c r="AC316" s="98"/>
    </row>
    <row r="317">
      <c r="A317" s="98"/>
      <c r="B317" s="98"/>
      <c r="C317" s="98"/>
      <c r="D317" s="98"/>
      <c r="E317" s="121"/>
      <c r="F317" s="98"/>
      <c r="G317" s="98"/>
      <c r="H317" s="98"/>
      <c r="I317" s="98"/>
      <c r="J317" s="98"/>
      <c r="K317" s="98"/>
      <c r="L317" s="98"/>
      <c r="M317" s="98"/>
      <c r="N317" s="98"/>
      <c r="O317" s="98"/>
      <c r="P317" s="98"/>
      <c r="Q317" s="98"/>
      <c r="R317" s="98"/>
      <c r="S317" s="98"/>
      <c r="T317" s="98"/>
      <c r="U317" s="98"/>
      <c r="V317" s="98"/>
      <c r="W317" s="98"/>
      <c r="X317" s="98"/>
      <c r="Y317" s="98"/>
      <c r="Z317" s="98"/>
      <c r="AA317" s="98"/>
      <c r="AB317" s="98"/>
      <c r="AC317" s="98"/>
    </row>
    <row r="318">
      <c r="A318" s="98"/>
      <c r="B318" s="98"/>
      <c r="C318" s="98"/>
      <c r="D318" s="98"/>
      <c r="E318" s="121"/>
      <c r="F318" s="98"/>
      <c r="G318" s="98"/>
      <c r="H318" s="98"/>
      <c r="I318" s="98"/>
      <c r="J318" s="98"/>
      <c r="K318" s="98"/>
      <c r="L318" s="98"/>
      <c r="M318" s="98"/>
      <c r="N318" s="98"/>
      <c r="O318" s="98"/>
      <c r="P318" s="98"/>
      <c r="Q318" s="98"/>
      <c r="R318" s="98"/>
      <c r="S318" s="98"/>
      <c r="T318" s="98"/>
      <c r="U318" s="98"/>
      <c r="V318" s="98"/>
      <c r="W318" s="98"/>
      <c r="X318" s="98"/>
      <c r="Y318" s="98"/>
      <c r="Z318" s="98"/>
      <c r="AA318" s="98"/>
      <c r="AB318" s="98"/>
      <c r="AC318" s="98"/>
    </row>
    <row r="319">
      <c r="A319" s="98"/>
      <c r="B319" s="98"/>
      <c r="C319" s="98"/>
      <c r="D319" s="98"/>
      <c r="E319" s="121"/>
      <c r="F319" s="98"/>
      <c r="G319" s="98"/>
      <c r="H319" s="98"/>
      <c r="I319" s="98"/>
      <c r="J319" s="98"/>
      <c r="K319" s="98"/>
      <c r="L319" s="98"/>
      <c r="M319" s="98"/>
      <c r="N319" s="98"/>
      <c r="O319" s="98"/>
      <c r="P319" s="98"/>
      <c r="Q319" s="98"/>
      <c r="R319" s="98"/>
      <c r="S319" s="98"/>
      <c r="T319" s="98"/>
      <c r="U319" s="98"/>
      <c r="V319" s="98"/>
      <c r="W319" s="98"/>
      <c r="X319" s="98"/>
      <c r="Y319" s="98"/>
      <c r="Z319" s="98"/>
      <c r="AA319" s="98"/>
      <c r="AB319" s="98"/>
      <c r="AC319" s="98"/>
    </row>
    <row r="320">
      <c r="A320" s="98"/>
      <c r="B320" s="98"/>
      <c r="C320" s="98"/>
      <c r="D320" s="98"/>
      <c r="E320" s="121"/>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row>
    <row r="321">
      <c r="A321" s="98"/>
      <c r="B321" s="98"/>
      <c r="C321" s="98"/>
      <c r="D321" s="98"/>
      <c r="E321" s="121"/>
      <c r="F321" s="98"/>
      <c r="G321" s="98"/>
      <c r="H321" s="98"/>
      <c r="I321" s="98"/>
      <c r="J321" s="98"/>
      <c r="K321" s="98"/>
      <c r="L321" s="98"/>
      <c r="M321" s="98"/>
      <c r="N321" s="98"/>
      <c r="O321" s="98"/>
      <c r="P321" s="98"/>
      <c r="Q321" s="98"/>
      <c r="R321" s="98"/>
      <c r="S321" s="98"/>
      <c r="T321" s="98"/>
      <c r="U321" s="98"/>
      <c r="V321" s="98"/>
      <c r="W321" s="98"/>
      <c r="X321" s="98"/>
      <c r="Y321" s="98"/>
      <c r="Z321" s="98"/>
      <c r="AA321" s="98"/>
      <c r="AB321" s="98"/>
      <c r="AC321" s="98"/>
    </row>
    <row r="322">
      <c r="A322" s="98"/>
      <c r="B322" s="98"/>
      <c r="C322" s="98"/>
      <c r="D322" s="98"/>
      <c r="E322" s="121"/>
      <c r="F322" s="98"/>
      <c r="G322" s="98"/>
      <c r="H322" s="98"/>
      <c r="I322" s="98"/>
      <c r="J322" s="98"/>
      <c r="K322" s="98"/>
      <c r="L322" s="98"/>
      <c r="M322" s="98"/>
      <c r="N322" s="98"/>
      <c r="O322" s="98"/>
      <c r="P322" s="98"/>
      <c r="Q322" s="98"/>
      <c r="R322" s="98"/>
      <c r="S322" s="98"/>
      <c r="T322" s="98"/>
      <c r="U322" s="98"/>
      <c r="V322" s="98"/>
      <c r="W322" s="98"/>
      <c r="X322" s="98"/>
      <c r="Y322" s="98"/>
      <c r="Z322" s="98"/>
      <c r="AA322" s="98"/>
      <c r="AB322" s="98"/>
      <c r="AC322" s="98"/>
    </row>
    <row r="323">
      <c r="A323" s="98"/>
      <c r="B323" s="98"/>
      <c r="C323" s="98"/>
      <c r="D323" s="98"/>
      <c r="E323" s="121"/>
      <c r="F323" s="98"/>
      <c r="G323" s="98"/>
      <c r="H323" s="98"/>
      <c r="I323" s="98"/>
      <c r="J323" s="98"/>
      <c r="K323" s="98"/>
      <c r="L323" s="98"/>
      <c r="M323" s="98"/>
      <c r="N323" s="98"/>
      <c r="O323" s="98"/>
      <c r="P323" s="98"/>
      <c r="Q323" s="98"/>
      <c r="R323" s="98"/>
      <c r="S323" s="98"/>
      <c r="T323" s="98"/>
      <c r="U323" s="98"/>
      <c r="V323" s="98"/>
      <c r="W323" s="98"/>
      <c r="X323" s="98"/>
      <c r="Y323" s="98"/>
      <c r="Z323" s="98"/>
      <c r="AA323" s="98"/>
      <c r="AB323" s="98"/>
      <c r="AC323" s="98"/>
    </row>
    <row r="324">
      <c r="A324" s="98"/>
      <c r="B324" s="98"/>
      <c r="C324" s="98"/>
      <c r="D324" s="98"/>
      <c r="E324" s="121"/>
      <c r="F324" s="98"/>
      <c r="G324" s="98"/>
      <c r="H324" s="98"/>
      <c r="I324" s="98"/>
      <c r="J324" s="98"/>
      <c r="K324" s="98"/>
      <c r="L324" s="98"/>
      <c r="M324" s="98"/>
      <c r="N324" s="98"/>
      <c r="O324" s="98"/>
      <c r="P324" s="98"/>
      <c r="Q324" s="98"/>
      <c r="R324" s="98"/>
      <c r="S324" s="98"/>
      <c r="T324" s="98"/>
      <c r="U324" s="98"/>
      <c r="V324" s="98"/>
      <c r="W324" s="98"/>
      <c r="X324" s="98"/>
      <c r="Y324" s="98"/>
      <c r="Z324" s="98"/>
      <c r="AA324" s="98"/>
      <c r="AB324" s="98"/>
      <c r="AC324" s="98"/>
    </row>
    <row r="325">
      <c r="A325" s="98"/>
      <c r="B325" s="98"/>
      <c r="C325" s="98"/>
      <c r="D325" s="98"/>
      <c r="E325" s="121"/>
      <c r="F325" s="98"/>
      <c r="G325" s="98"/>
      <c r="H325" s="98"/>
      <c r="I325" s="98"/>
      <c r="J325" s="98"/>
      <c r="K325" s="98"/>
      <c r="L325" s="98"/>
      <c r="M325" s="98"/>
      <c r="N325" s="98"/>
      <c r="O325" s="98"/>
      <c r="P325" s="98"/>
      <c r="Q325" s="98"/>
      <c r="R325" s="98"/>
      <c r="S325" s="98"/>
      <c r="T325" s="98"/>
      <c r="U325" s="98"/>
      <c r="V325" s="98"/>
      <c r="W325" s="98"/>
      <c r="X325" s="98"/>
      <c r="Y325" s="98"/>
      <c r="Z325" s="98"/>
      <c r="AA325" s="98"/>
      <c r="AB325" s="98"/>
      <c r="AC325" s="98"/>
    </row>
    <row r="326">
      <c r="A326" s="98"/>
      <c r="B326" s="98"/>
      <c r="C326" s="98"/>
      <c r="D326" s="98"/>
      <c r="E326" s="121"/>
      <c r="F326" s="98"/>
      <c r="G326" s="98"/>
      <c r="H326" s="98"/>
      <c r="I326" s="98"/>
      <c r="J326" s="98"/>
      <c r="K326" s="98"/>
      <c r="L326" s="98"/>
      <c r="M326" s="98"/>
      <c r="N326" s="98"/>
      <c r="O326" s="98"/>
      <c r="P326" s="98"/>
      <c r="Q326" s="98"/>
      <c r="R326" s="98"/>
      <c r="S326" s="98"/>
      <c r="T326" s="98"/>
      <c r="U326" s="98"/>
      <c r="V326" s="98"/>
      <c r="W326" s="98"/>
      <c r="X326" s="98"/>
      <c r="Y326" s="98"/>
      <c r="Z326" s="98"/>
      <c r="AA326" s="98"/>
      <c r="AB326" s="98"/>
      <c r="AC326" s="98"/>
    </row>
    <row r="327">
      <c r="A327" s="98"/>
      <c r="B327" s="98"/>
      <c r="C327" s="98"/>
      <c r="D327" s="98"/>
      <c r="E327" s="121"/>
      <c r="F327" s="98"/>
      <c r="G327" s="98"/>
      <c r="H327" s="98"/>
      <c r="I327" s="98"/>
      <c r="J327" s="98"/>
      <c r="K327" s="98"/>
      <c r="L327" s="98"/>
      <c r="M327" s="98"/>
      <c r="N327" s="98"/>
      <c r="O327" s="98"/>
      <c r="P327" s="98"/>
      <c r="Q327" s="98"/>
      <c r="R327" s="98"/>
      <c r="S327" s="98"/>
      <c r="T327" s="98"/>
      <c r="U327" s="98"/>
      <c r="V327" s="98"/>
      <c r="W327" s="98"/>
      <c r="X327" s="98"/>
      <c r="Y327" s="98"/>
      <c r="Z327" s="98"/>
      <c r="AA327" s="98"/>
      <c r="AB327" s="98"/>
      <c r="AC327" s="98"/>
    </row>
    <row r="328">
      <c r="A328" s="98"/>
      <c r="B328" s="98"/>
      <c r="C328" s="98"/>
      <c r="D328" s="98"/>
      <c r="E328" s="121"/>
      <c r="F328" s="98"/>
      <c r="G328" s="98"/>
      <c r="H328" s="98"/>
      <c r="I328" s="98"/>
      <c r="J328" s="98"/>
      <c r="K328" s="98"/>
      <c r="L328" s="98"/>
      <c r="M328" s="98"/>
      <c r="N328" s="98"/>
      <c r="O328" s="98"/>
      <c r="P328" s="98"/>
      <c r="Q328" s="98"/>
      <c r="R328" s="98"/>
      <c r="S328" s="98"/>
      <c r="T328" s="98"/>
      <c r="U328" s="98"/>
      <c r="V328" s="98"/>
      <c r="W328" s="98"/>
      <c r="X328" s="98"/>
      <c r="Y328" s="98"/>
      <c r="Z328" s="98"/>
      <c r="AA328" s="98"/>
      <c r="AB328" s="98"/>
      <c r="AC328" s="98"/>
    </row>
    <row r="329">
      <c r="A329" s="98"/>
      <c r="B329" s="98"/>
      <c r="C329" s="98"/>
      <c r="D329" s="98"/>
      <c r="E329" s="121"/>
      <c r="F329" s="98"/>
      <c r="G329" s="98"/>
      <c r="H329" s="98"/>
      <c r="I329" s="98"/>
      <c r="J329" s="98"/>
      <c r="K329" s="98"/>
      <c r="L329" s="98"/>
      <c r="M329" s="98"/>
      <c r="N329" s="98"/>
      <c r="O329" s="98"/>
      <c r="P329" s="98"/>
      <c r="Q329" s="98"/>
      <c r="R329" s="98"/>
      <c r="S329" s="98"/>
      <c r="T329" s="98"/>
      <c r="U329" s="98"/>
      <c r="V329" s="98"/>
      <c r="W329" s="98"/>
      <c r="X329" s="98"/>
      <c r="Y329" s="98"/>
      <c r="Z329" s="98"/>
      <c r="AA329" s="98"/>
      <c r="AB329" s="98"/>
      <c r="AC329" s="98"/>
    </row>
    <row r="330">
      <c r="A330" s="98"/>
      <c r="B330" s="98"/>
      <c r="C330" s="98"/>
      <c r="D330" s="98"/>
      <c r="E330" s="121"/>
      <c r="F330" s="98"/>
      <c r="G330" s="98"/>
      <c r="H330" s="98"/>
      <c r="I330" s="98"/>
      <c r="J330" s="98"/>
      <c r="K330" s="98"/>
      <c r="L330" s="98"/>
      <c r="M330" s="98"/>
      <c r="N330" s="98"/>
      <c r="O330" s="98"/>
      <c r="P330" s="98"/>
      <c r="Q330" s="98"/>
      <c r="R330" s="98"/>
      <c r="S330" s="98"/>
      <c r="T330" s="98"/>
      <c r="U330" s="98"/>
      <c r="V330" s="98"/>
      <c r="W330" s="98"/>
      <c r="X330" s="98"/>
      <c r="Y330" s="98"/>
      <c r="Z330" s="98"/>
      <c r="AA330" s="98"/>
      <c r="AB330" s="98"/>
      <c r="AC330" s="98"/>
    </row>
    <row r="331">
      <c r="A331" s="98"/>
      <c r="B331" s="98"/>
      <c r="C331" s="98"/>
      <c r="D331" s="98"/>
      <c r="E331" s="121"/>
      <c r="F331" s="98"/>
      <c r="G331" s="98"/>
      <c r="H331" s="98"/>
      <c r="I331" s="98"/>
      <c r="J331" s="98"/>
      <c r="K331" s="98"/>
      <c r="L331" s="98"/>
      <c r="M331" s="98"/>
      <c r="N331" s="98"/>
      <c r="O331" s="98"/>
      <c r="P331" s="98"/>
      <c r="Q331" s="98"/>
      <c r="R331" s="98"/>
      <c r="S331" s="98"/>
      <c r="T331" s="98"/>
      <c r="U331" s="98"/>
      <c r="V331" s="98"/>
      <c r="W331" s="98"/>
      <c r="X331" s="98"/>
      <c r="Y331" s="98"/>
      <c r="Z331" s="98"/>
      <c r="AA331" s="98"/>
      <c r="AB331" s="98"/>
      <c r="AC331" s="98"/>
    </row>
    <row r="332">
      <c r="A332" s="98"/>
      <c r="B332" s="98"/>
      <c r="C332" s="98"/>
      <c r="D332" s="98"/>
      <c r="E332" s="121"/>
      <c r="F332" s="98"/>
      <c r="G332" s="98"/>
      <c r="H332" s="98"/>
      <c r="I332" s="98"/>
      <c r="J332" s="98"/>
      <c r="K332" s="98"/>
      <c r="L332" s="98"/>
      <c r="M332" s="98"/>
      <c r="N332" s="98"/>
      <c r="O332" s="98"/>
      <c r="P332" s="98"/>
      <c r="Q332" s="98"/>
      <c r="R332" s="98"/>
      <c r="S332" s="98"/>
      <c r="T332" s="98"/>
      <c r="U332" s="98"/>
      <c r="V332" s="98"/>
      <c r="W332" s="98"/>
      <c r="X332" s="98"/>
      <c r="Y332" s="98"/>
      <c r="Z332" s="98"/>
      <c r="AA332" s="98"/>
      <c r="AB332" s="98"/>
      <c r="AC332" s="98"/>
    </row>
    <row r="333">
      <c r="A333" s="98"/>
      <c r="B333" s="98"/>
      <c r="C333" s="98"/>
      <c r="D333" s="98"/>
      <c r="E333" s="121"/>
      <c r="F333" s="98"/>
      <c r="G333" s="98"/>
      <c r="H333" s="98"/>
      <c r="I333" s="98"/>
      <c r="J333" s="98"/>
      <c r="K333" s="98"/>
      <c r="L333" s="98"/>
      <c r="M333" s="98"/>
      <c r="N333" s="98"/>
      <c r="O333" s="98"/>
      <c r="P333" s="98"/>
      <c r="Q333" s="98"/>
      <c r="R333" s="98"/>
      <c r="S333" s="98"/>
      <c r="T333" s="98"/>
      <c r="U333" s="98"/>
      <c r="V333" s="98"/>
      <c r="W333" s="98"/>
      <c r="X333" s="98"/>
      <c r="Y333" s="98"/>
      <c r="Z333" s="98"/>
      <c r="AA333" s="98"/>
      <c r="AB333" s="98"/>
      <c r="AC333" s="98"/>
    </row>
    <row r="334">
      <c r="A334" s="98"/>
      <c r="B334" s="98"/>
      <c r="C334" s="98"/>
      <c r="D334" s="98"/>
      <c r="E334" s="121"/>
      <c r="F334" s="98"/>
      <c r="G334" s="98"/>
      <c r="H334" s="98"/>
      <c r="I334" s="98"/>
      <c r="J334" s="98"/>
      <c r="K334" s="98"/>
      <c r="L334" s="98"/>
      <c r="M334" s="98"/>
      <c r="N334" s="98"/>
      <c r="O334" s="98"/>
      <c r="P334" s="98"/>
      <c r="Q334" s="98"/>
      <c r="R334" s="98"/>
      <c r="S334" s="98"/>
      <c r="T334" s="98"/>
      <c r="U334" s="98"/>
      <c r="V334" s="98"/>
      <c r="W334" s="98"/>
      <c r="X334" s="98"/>
      <c r="Y334" s="98"/>
      <c r="Z334" s="98"/>
      <c r="AA334" s="98"/>
      <c r="AB334" s="98"/>
      <c r="AC334" s="98"/>
    </row>
    <row r="335">
      <c r="A335" s="98"/>
      <c r="B335" s="98"/>
      <c r="C335" s="98"/>
      <c r="D335" s="98"/>
      <c r="E335" s="121"/>
      <c r="F335" s="98"/>
      <c r="G335" s="98"/>
      <c r="H335" s="98"/>
      <c r="I335" s="98"/>
      <c r="J335" s="98"/>
      <c r="K335" s="98"/>
      <c r="L335" s="98"/>
      <c r="M335" s="98"/>
      <c r="N335" s="98"/>
      <c r="O335" s="98"/>
      <c r="P335" s="98"/>
      <c r="Q335" s="98"/>
      <c r="R335" s="98"/>
      <c r="S335" s="98"/>
      <c r="T335" s="98"/>
      <c r="U335" s="98"/>
      <c r="V335" s="98"/>
      <c r="W335" s="98"/>
      <c r="X335" s="98"/>
      <c r="Y335" s="98"/>
      <c r="Z335" s="98"/>
      <c r="AA335" s="98"/>
      <c r="AB335" s="98"/>
      <c r="AC335" s="98"/>
    </row>
    <row r="336">
      <c r="A336" s="98"/>
      <c r="B336" s="98"/>
      <c r="C336" s="98"/>
      <c r="D336" s="98"/>
      <c r="E336" s="121"/>
      <c r="F336" s="98"/>
      <c r="G336" s="98"/>
      <c r="H336" s="98"/>
      <c r="I336" s="98"/>
      <c r="J336" s="98"/>
      <c r="K336" s="98"/>
      <c r="L336" s="98"/>
      <c r="M336" s="98"/>
      <c r="N336" s="98"/>
      <c r="O336" s="98"/>
      <c r="P336" s="98"/>
      <c r="Q336" s="98"/>
      <c r="R336" s="98"/>
      <c r="S336" s="98"/>
      <c r="T336" s="98"/>
      <c r="U336" s="98"/>
      <c r="V336" s="98"/>
      <c r="W336" s="98"/>
      <c r="X336" s="98"/>
      <c r="Y336" s="98"/>
      <c r="Z336" s="98"/>
      <c r="AA336" s="98"/>
      <c r="AB336" s="98"/>
      <c r="AC336" s="98"/>
    </row>
    <row r="337">
      <c r="A337" s="98"/>
      <c r="B337" s="98"/>
      <c r="C337" s="98"/>
      <c r="D337" s="98"/>
      <c r="E337" s="121"/>
      <c r="F337" s="98"/>
      <c r="G337" s="98"/>
      <c r="H337" s="98"/>
      <c r="I337" s="98"/>
      <c r="J337" s="98"/>
      <c r="K337" s="98"/>
      <c r="L337" s="98"/>
      <c r="M337" s="98"/>
      <c r="N337" s="98"/>
      <c r="O337" s="98"/>
      <c r="P337" s="98"/>
      <c r="Q337" s="98"/>
      <c r="R337" s="98"/>
      <c r="S337" s="98"/>
      <c r="T337" s="98"/>
      <c r="U337" s="98"/>
      <c r="V337" s="98"/>
      <c r="W337" s="98"/>
      <c r="X337" s="98"/>
      <c r="Y337" s="98"/>
      <c r="Z337" s="98"/>
      <c r="AA337" s="98"/>
      <c r="AB337" s="98"/>
      <c r="AC337" s="98"/>
    </row>
    <row r="338">
      <c r="A338" s="98"/>
      <c r="B338" s="98"/>
      <c r="C338" s="98"/>
      <c r="D338" s="98"/>
      <c r="E338" s="121"/>
      <c r="F338" s="98"/>
      <c r="G338" s="98"/>
      <c r="H338" s="98"/>
      <c r="I338" s="98"/>
      <c r="J338" s="98"/>
      <c r="K338" s="98"/>
      <c r="L338" s="98"/>
      <c r="M338" s="98"/>
      <c r="N338" s="98"/>
      <c r="O338" s="98"/>
      <c r="P338" s="98"/>
      <c r="Q338" s="98"/>
      <c r="R338" s="98"/>
      <c r="S338" s="98"/>
      <c r="T338" s="98"/>
      <c r="U338" s="98"/>
      <c r="V338" s="98"/>
      <c r="W338" s="98"/>
      <c r="X338" s="98"/>
      <c r="Y338" s="98"/>
      <c r="Z338" s="98"/>
      <c r="AA338" s="98"/>
      <c r="AB338" s="98"/>
      <c r="AC338" s="98"/>
    </row>
    <row r="339">
      <c r="A339" s="98"/>
      <c r="B339" s="98"/>
      <c r="C339" s="98"/>
      <c r="D339" s="98"/>
      <c r="E339" s="121"/>
      <c r="F339" s="98"/>
      <c r="G339" s="98"/>
      <c r="H339" s="98"/>
      <c r="I339" s="98"/>
      <c r="J339" s="98"/>
      <c r="K339" s="98"/>
      <c r="L339" s="98"/>
      <c r="M339" s="98"/>
      <c r="N339" s="98"/>
      <c r="O339" s="98"/>
      <c r="P339" s="98"/>
      <c r="Q339" s="98"/>
      <c r="R339" s="98"/>
      <c r="S339" s="98"/>
      <c r="T339" s="98"/>
      <c r="U339" s="98"/>
      <c r="V339" s="98"/>
      <c r="W339" s="98"/>
      <c r="X339" s="98"/>
      <c r="Y339" s="98"/>
      <c r="Z339" s="98"/>
      <c r="AA339" s="98"/>
      <c r="AB339" s="98"/>
      <c r="AC339" s="98"/>
    </row>
    <row r="340">
      <c r="A340" s="98"/>
      <c r="B340" s="98"/>
      <c r="C340" s="98"/>
      <c r="D340" s="98"/>
      <c r="E340" s="121"/>
      <c r="F340" s="98"/>
      <c r="G340" s="98"/>
      <c r="H340" s="98"/>
      <c r="I340" s="98"/>
      <c r="J340" s="98"/>
      <c r="K340" s="98"/>
      <c r="L340" s="98"/>
      <c r="M340" s="98"/>
      <c r="N340" s="98"/>
      <c r="O340" s="98"/>
      <c r="P340" s="98"/>
      <c r="Q340" s="98"/>
      <c r="R340" s="98"/>
      <c r="S340" s="98"/>
      <c r="T340" s="98"/>
      <c r="U340" s="98"/>
      <c r="V340" s="98"/>
      <c r="W340" s="98"/>
      <c r="X340" s="98"/>
      <c r="Y340" s="98"/>
      <c r="Z340" s="98"/>
      <c r="AA340" s="98"/>
      <c r="AB340" s="98"/>
      <c r="AC340" s="98"/>
    </row>
    <row r="341">
      <c r="A341" s="98"/>
      <c r="B341" s="98"/>
      <c r="C341" s="98"/>
      <c r="D341" s="98"/>
      <c r="E341" s="121"/>
      <c r="F341" s="98"/>
      <c r="G341" s="98"/>
      <c r="H341" s="98"/>
      <c r="I341" s="98"/>
      <c r="J341" s="98"/>
      <c r="K341" s="98"/>
      <c r="L341" s="98"/>
      <c r="M341" s="98"/>
      <c r="N341" s="98"/>
      <c r="O341" s="98"/>
      <c r="P341" s="98"/>
      <c r="Q341" s="98"/>
      <c r="R341" s="98"/>
      <c r="S341" s="98"/>
      <c r="T341" s="98"/>
      <c r="U341" s="98"/>
      <c r="V341" s="98"/>
      <c r="W341" s="98"/>
      <c r="X341" s="98"/>
      <c r="Y341" s="98"/>
      <c r="Z341" s="98"/>
      <c r="AA341" s="98"/>
      <c r="AB341" s="98"/>
      <c r="AC341" s="98"/>
    </row>
    <row r="342">
      <c r="A342" s="98"/>
      <c r="B342" s="98"/>
      <c r="C342" s="98"/>
      <c r="D342" s="98"/>
      <c r="E342" s="121"/>
      <c r="F342" s="98"/>
      <c r="G342" s="98"/>
      <c r="H342" s="98"/>
      <c r="I342" s="98"/>
      <c r="J342" s="98"/>
      <c r="K342" s="98"/>
      <c r="L342" s="98"/>
      <c r="M342" s="98"/>
      <c r="N342" s="98"/>
      <c r="O342" s="98"/>
      <c r="P342" s="98"/>
      <c r="Q342" s="98"/>
      <c r="R342" s="98"/>
      <c r="S342" s="98"/>
      <c r="T342" s="98"/>
      <c r="U342" s="98"/>
      <c r="V342" s="98"/>
      <c r="W342" s="98"/>
      <c r="X342" s="98"/>
      <c r="Y342" s="98"/>
      <c r="Z342" s="98"/>
      <c r="AA342" s="98"/>
      <c r="AB342" s="98"/>
      <c r="AC342" s="98"/>
    </row>
    <row r="343">
      <c r="A343" s="98"/>
      <c r="B343" s="98"/>
      <c r="C343" s="98"/>
      <c r="D343" s="98"/>
      <c r="E343" s="121"/>
      <c r="F343" s="98"/>
      <c r="G343" s="98"/>
      <c r="H343" s="98"/>
      <c r="I343" s="98"/>
      <c r="J343" s="98"/>
      <c r="K343" s="98"/>
      <c r="L343" s="98"/>
      <c r="M343" s="98"/>
      <c r="N343" s="98"/>
      <c r="O343" s="98"/>
      <c r="P343" s="98"/>
      <c r="Q343" s="98"/>
      <c r="R343" s="98"/>
      <c r="S343" s="98"/>
      <c r="T343" s="98"/>
      <c r="U343" s="98"/>
      <c r="V343" s="98"/>
      <c r="W343" s="98"/>
      <c r="X343" s="98"/>
      <c r="Y343" s="98"/>
      <c r="Z343" s="98"/>
      <c r="AA343" s="98"/>
      <c r="AB343" s="98"/>
      <c r="AC343" s="98"/>
    </row>
    <row r="344">
      <c r="A344" s="98"/>
      <c r="B344" s="98"/>
      <c r="C344" s="98"/>
      <c r="D344" s="98"/>
      <c r="E344" s="121"/>
      <c r="F344" s="98"/>
      <c r="G344" s="98"/>
      <c r="H344" s="98"/>
      <c r="I344" s="98"/>
      <c r="J344" s="98"/>
      <c r="K344" s="98"/>
      <c r="L344" s="98"/>
      <c r="M344" s="98"/>
      <c r="N344" s="98"/>
      <c r="O344" s="98"/>
      <c r="P344" s="98"/>
      <c r="Q344" s="98"/>
      <c r="R344" s="98"/>
      <c r="S344" s="98"/>
      <c r="T344" s="98"/>
      <c r="U344" s="98"/>
      <c r="V344" s="98"/>
      <c r="W344" s="98"/>
      <c r="X344" s="98"/>
      <c r="Y344" s="98"/>
      <c r="Z344" s="98"/>
      <c r="AA344" s="98"/>
      <c r="AB344" s="98"/>
      <c r="AC344" s="98"/>
    </row>
    <row r="345">
      <c r="A345" s="98"/>
      <c r="B345" s="98"/>
      <c r="C345" s="98"/>
      <c r="D345" s="98"/>
      <c r="E345" s="121"/>
      <c r="F345" s="98"/>
      <c r="G345" s="98"/>
      <c r="H345" s="98"/>
      <c r="I345" s="98"/>
      <c r="J345" s="98"/>
      <c r="K345" s="98"/>
      <c r="L345" s="98"/>
      <c r="M345" s="98"/>
      <c r="N345" s="98"/>
      <c r="O345" s="98"/>
      <c r="P345" s="98"/>
      <c r="Q345" s="98"/>
      <c r="R345" s="98"/>
      <c r="S345" s="98"/>
      <c r="T345" s="98"/>
      <c r="U345" s="98"/>
      <c r="V345" s="98"/>
      <c r="W345" s="98"/>
      <c r="X345" s="98"/>
      <c r="Y345" s="98"/>
      <c r="Z345" s="98"/>
      <c r="AA345" s="98"/>
      <c r="AB345" s="98"/>
      <c r="AC345" s="98"/>
    </row>
    <row r="346">
      <c r="A346" s="98"/>
      <c r="B346" s="98"/>
      <c r="C346" s="98"/>
      <c r="D346" s="98"/>
      <c r="E346" s="121"/>
      <c r="F346" s="98"/>
      <c r="G346" s="98"/>
      <c r="H346" s="98"/>
      <c r="I346" s="98"/>
      <c r="J346" s="98"/>
      <c r="K346" s="98"/>
      <c r="L346" s="98"/>
      <c r="M346" s="98"/>
      <c r="N346" s="98"/>
      <c r="O346" s="98"/>
      <c r="P346" s="98"/>
      <c r="Q346" s="98"/>
      <c r="R346" s="98"/>
      <c r="S346" s="98"/>
      <c r="T346" s="98"/>
      <c r="U346" s="98"/>
      <c r="V346" s="98"/>
      <c r="W346" s="98"/>
      <c r="X346" s="98"/>
      <c r="Y346" s="98"/>
      <c r="Z346" s="98"/>
      <c r="AA346" s="98"/>
      <c r="AB346" s="98"/>
      <c r="AC346" s="98"/>
    </row>
    <row r="347">
      <c r="A347" s="98"/>
      <c r="B347" s="98"/>
      <c r="C347" s="98"/>
      <c r="D347" s="98"/>
      <c r="E347" s="121"/>
      <c r="F347" s="98"/>
      <c r="G347" s="98"/>
      <c r="H347" s="98"/>
      <c r="I347" s="98"/>
      <c r="J347" s="98"/>
      <c r="K347" s="98"/>
      <c r="L347" s="98"/>
      <c r="M347" s="98"/>
      <c r="N347" s="98"/>
      <c r="O347" s="98"/>
      <c r="P347" s="98"/>
      <c r="Q347" s="98"/>
      <c r="R347" s="98"/>
      <c r="S347" s="98"/>
      <c r="T347" s="98"/>
      <c r="U347" s="98"/>
      <c r="V347" s="98"/>
      <c r="W347" s="98"/>
      <c r="X347" s="98"/>
      <c r="Y347" s="98"/>
      <c r="Z347" s="98"/>
      <c r="AA347" s="98"/>
      <c r="AB347" s="98"/>
      <c r="AC347" s="98"/>
    </row>
    <row r="348">
      <c r="A348" s="98"/>
      <c r="B348" s="98"/>
      <c r="C348" s="98"/>
      <c r="D348" s="98"/>
      <c r="E348" s="121"/>
      <c r="F348" s="98"/>
      <c r="G348" s="98"/>
      <c r="H348" s="98"/>
      <c r="I348" s="98"/>
      <c r="J348" s="98"/>
      <c r="K348" s="98"/>
      <c r="L348" s="98"/>
      <c r="M348" s="98"/>
      <c r="N348" s="98"/>
      <c r="O348" s="98"/>
      <c r="P348" s="98"/>
      <c r="Q348" s="98"/>
      <c r="R348" s="98"/>
      <c r="S348" s="98"/>
      <c r="T348" s="98"/>
      <c r="U348" s="98"/>
      <c r="V348" s="98"/>
      <c r="W348" s="98"/>
      <c r="X348" s="98"/>
      <c r="Y348" s="98"/>
      <c r="Z348" s="98"/>
      <c r="AA348" s="98"/>
      <c r="AB348" s="98"/>
      <c r="AC348" s="98"/>
    </row>
    <row r="349">
      <c r="A349" s="98"/>
      <c r="B349" s="98"/>
      <c r="C349" s="98"/>
      <c r="D349" s="98"/>
      <c r="E349" s="121"/>
      <c r="F349" s="98"/>
      <c r="G349" s="98"/>
      <c r="H349" s="98"/>
      <c r="I349" s="98"/>
      <c r="J349" s="98"/>
      <c r="K349" s="98"/>
      <c r="L349" s="98"/>
      <c r="M349" s="98"/>
      <c r="N349" s="98"/>
      <c r="O349" s="98"/>
      <c r="P349" s="98"/>
      <c r="Q349" s="98"/>
      <c r="R349" s="98"/>
      <c r="S349" s="98"/>
      <c r="T349" s="98"/>
      <c r="U349" s="98"/>
      <c r="V349" s="98"/>
      <c r="W349" s="98"/>
      <c r="X349" s="98"/>
      <c r="Y349" s="98"/>
      <c r="Z349" s="98"/>
      <c r="AA349" s="98"/>
      <c r="AB349" s="98"/>
      <c r="AC349" s="98"/>
    </row>
    <row r="350">
      <c r="A350" s="98"/>
      <c r="B350" s="98"/>
      <c r="C350" s="98"/>
      <c r="D350" s="98"/>
      <c r="E350" s="121"/>
      <c r="F350" s="98"/>
      <c r="G350" s="98"/>
      <c r="H350" s="98"/>
      <c r="I350" s="98"/>
      <c r="J350" s="98"/>
      <c r="K350" s="98"/>
      <c r="L350" s="98"/>
      <c r="M350" s="98"/>
      <c r="N350" s="98"/>
      <c r="O350" s="98"/>
      <c r="P350" s="98"/>
      <c r="Q350" s="98"/>
      <c r="R350" s="98"/>
      <c r="S350" s="98"/>
      <c r="T350" s="98"/>
      <c r="U350" s="98"/>
      <c r="V350" s="98"/>
      <c r="W350" s="98"/>
      <c r="X350" s="98"/>
      <c r="Y350" s="98"/>
      <c r="Z350" s="98"/>
      <c r="AA350" s="98"/>
      <c r="AB350" s="98"/>
      <c r="AC350" s="98"/>
    </row>
    <row r="351">
      <c r="A351" s="98"/>
      <c r="B351" s="98"/>
      <c r="C351" s="98"/>
      <c r="D351" s="98"/>
      <c r="E351" s="121"/>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row>
    <row r="352">
      <c r="A352" s="98"/>
      <c r="B352" s="98"/>
      <c r="C352" s="98"/>
      <c r="D352" s="98"/>
      <c r="E352" s="121"/>
      <c r="F352" s="98"/>
      <c r="G352" s="98"/>
      <c r="H352" s="98"/>
      <c r="I352" s="98"/>
      <c r="J352" s="98"/>
      <c r="K352" s="98"/>
      <c r="L352" s="98"/>
      <c r="M352" s="98"/>
      <c r="N352" s="98"/>
      <c r="O352" s="98"/>
      <c r="P352" s="98"/>
      <c r="Q352" s="98"/>
      <c r="R352" s="98"/>
      <c r="S352" s="98"/>
      <c r="T352" s="98"/>
      <c r="U352" s="98"/>
      <c r="V352" s="98"/>
      <c r="W352" s="98"/>
      <c r="X352" s="98"/>
      <c r="Y352" s="98"/>
      <c r="Z352" s="98"/>
      <c r="AA352" s="98"/>
      <c r="AB352" s="98"/>
      <c r="AC352" s="98"/>
    </row>
    <row r="353">
      <c r="A353" s="98"/>
      <c r="B353" s="98"/>
      <c r="C353" s="98"/>
      <c r="D353" s="98"/>
      <c r="E353" s="121"/>
      <c r="F353" s="98"/>
      <c r="G353" s="98"/>
      <c r="H353" s="98"/>
      <c r="I353" s="98"/>
      <c r="J353" s="98"/>
      <c r="K353" s="98"/>
      <c r="L353" s="98"/>
      <c r="M353" s="98"/>
      <c r="N353" s="98"/>
      <c r="O353" s="98"/>
      <c r="P353" s="98"/>
      <c r="Q353" s="98"/>
      <c r="R353" s="98"/>
      <c r="S353" s="98"/>
      <c r="T353" s="98"/>
      <c r="U353" s="98"/>
      <c r="V353" s="98"/>
      <c r="W353" s="98"/>
      <c r="X353" s="98"/>
      <c r="Y353" s="98"/>
      <c r="Z353" s="98"/>
      <c r="AA353" s="98"/>
      <c r="AB353" s="98"/>
      <c r="AC353" s="98"/>
    </row>
    <row r="354">
      <c r="A354" s="98"/>
      <c r="B354" s="98"/>
      <c r="C354" s="98"/>
      <c r="D354" s="98"/>
      <c r="E354" s="121"/>
      <c r="F354" s="98"/>
      <c r="G354" s="98"/>
      <c r="H354" s="98"/>
      <c r="I354" s="98"/>
      <c r="J354" s="98"/>
      <c r="K354" s="98"/>
      <c r="L354" s="98"/>
      <c r="M354" s="98"/>
      <c r="N354" s="98"/>
      <c r="O354" s="98"/>
      <c r="P354" s="98"/>
      <c r="Q354" s="98"/>
      <c r="R354" s="98"/>
      <c r="S354" s="98"/>
      <c r="T354" s="98"/>
      <c r="U354" s="98"/>
      <c r="V354" s="98"/>
      <c r="W354" s="98"/>
      <c r="X354" s="98"/>
      <c r="Y354" s="98"/>
      <c r="Z354" s="98"/>
      <c r="AA354" s="98"/>
      <c r="AB354" s="98"/>
      <c r="AC354" s="98"/>
    </row>
    <row r="355">
      <c r="A355" s="98"/>
      <c r="B355" s="98"/>
      <c r="C355" s="98"/>
      <c r="D355" s="98"/>
      <c r="E355" s="121"/>
      <c r="F355" s="98"/>
      <c r="G355" s="98"/>
      <c r="H355" s="98"/>
      <c r="I355" s="98"/>
      <c r="J355" s="98"/>
      <c r="K355" s="98"/>
      <c r="L355" s="98"/>
      <c r="M355" s="98"/>
      <c r="N355" s="98"/>
      <c r="O355" s="98"/>
      <c r="P355" s="98"/>
      <c r="Q355" s="98"/>
      <c r="R355" s="98"/>
      <c r="S355" s="98"/>
      <c r="T355" s="98"/>
      <c r="U355" s="98"/>
      <c r="V355" s="98"/>
      <c r="W355" s="98"/>
      <c r="X355" s="98"/>
      <c r="Y355" s="98"/>
      <c r="Z355" s="98"/>
      <c r="AA355" s="98"/>
      <c r="AB355" s="98"/>
      <c r="AC355" s="98"/>
    </row>
    <row r="356">
      <c r="A356" s="98"/>
      <c r="B356" s="98"/>
      <c r="C356" s="98"/>
      <c r="D356" s="98"/>
      <c r="E356" s="121"/>
      <c r="F356" s="98"/>
      <c r="G356" s="98"/>
      <c r="H356" s="98"/>
      <c r="I356" s="98"/>
      <c r="J356" s="98"/>
      <c r="K356" s="98"/>
      <c r="L356" s="98"/>
      <c r="M356" s="98"/>
      <c r="N356" s="98"/>
      <c r="O356" s="98"/>
      <c r="P356" s="98"/>
      <c r="Q356" s="98"/>
      <c r="R356" s="98"/>
      <c r="S356" s="98"/>
      <c r="T356" s="98"/>
      <c r="U356" s="98"/>
      <c r="V356" s="98"/>
      <c r="W356" s="98"/>
      <c r="X356" s="98"/>
      <c r="Y356" s="98"/>
      <c r="Z356" s="98"/>
      <c r="AA356" s="98"/>
      <c r="AB356" s="98"/>
      <c r="AC356" s="98"/>
    </row>
    <row r="357">
      <c r="A357" s="98"/>
      <c r="B357" s="98"/>
      <c r="C357" s="98"/>
      <c r="D357" s="98"/>
      <c r="E357" s="121"/>
      <c r="F357" s="98"/>
      <c r="G357" s="98"/>
      <c r="H357" s="98"/>
      <c r="I357" s="98"/>
      <c r="J357" s="98"/>
      <c r="K357" s="98"/>
      <c r="L357" s="98"/>
      <c r="M357" s="98"/>
      <c r="N357" s="98"/>
      <c r="O357" s="98"/>
      <c r="P357" s="98"/>
      <c r="Q357" s="98"/>
      <c r="R357" s="98"/>
      <c r="S357" s="98"/>
      <c r="T357" s="98"/>
      <c r="U357" s="98"/>
      <c r="V357" s="98"/>
      <c r="W357" s="98"/>
      <c r="X357" s="98"/>
      <c r="Y357" s="98"/>
      <c r="Z357" s="98"/>
      <c r="AA357" s="98"/>
      <c r="AB357" s="98"/>
      <c r="AC357" s="98"/>
    </row>
    <row r="358">
      <c r="A358" s="98"/>
      <c r="B358" s="98"/>
      <c r="C358" s="98"/>
      <c r="D358" s="98"/>
      <c r="E358" s="121"/>
      <c r="F358" s="98"/>
      <c r="G358" s="98"/>
      <c r="H358" s="98"/>
      <c r="I358" s="98"/>
      <c r="J358" s="98"/>
      <c r="K358" s="98"/>
      <c r="L358" s="98"/>
      <c r="M358" s="98"/>
      <c r="N358" s="98"/>
      <c r="O358" s="98"/>
      <c r="P358" s="98"/>
      <c r="Q358" s="98"/>
      <c r="R358" s="98"/>
      <c r="S358" s="98"/>
      <c r="T358" s="98"/>
      <c r="U358" s="98"/>
      <c r="V358" s="98"/>
      <c r="W358" s="98"/>
      <c r="X358" s="98"/>
      <c r="Y358" s="98"/>
      <c r="Z358" s="98"/>
      <c r="AA358" s="98"/>
      <c r="AB358" s="98"/>
      <c r="AC358" s="98"/>
    </row>
    <row r="359">
      <c r="A359" s="98"/>
      <c r="B359" s="98"/>
      <c r="C359" s="98"/>
      <c r="D359" s="98"/>
      <c r="E359" s="121"/>
      <c r="F359" s="98"/>
      <c r="G359" s="98"/>
      <c r="H359" s="98"/>
      <c r="I359" s="98"/>
      <c r="J359" s="98"/>
      <c r="K359" s="98"/>
      <c r="L359" s="98"/>
      <c r="M359" s="98"/>
      <c r="N359" s="98"/>
      <c r="O359" s="98"/>
      <c r="P359" s="98"/>
      <c r="Q359" s="98"/>
      <c r="R359" s="98"/>
      <c r="S359" s="98"/>
      <c r="T359" s="98"/>
      <c r="U359" s="98"/>
      <c r="V359" s="98"/>
      <c r="W359" s="98"/>
      <c r="X359" s="98"/>
      <c r="Y359" s="98"/>
      <c r="Z359" s="98"/>
      <c r="AA359" s="98"/>
      <c r="AB359" s="98"/>
      <c r="AC359" s="98"/>
    </row>
    <row r="360">
      <c r="A360" s="98"/>
      <c r="B360" s="98"/>
      <c r="C360" s="98"/>
      <c r="D360" s="98"/>
      <c r="E360" s="121"/>
      <c r="F360" s="98"/>
      <c r="G360" s="98"/>
      <c r="H360" s="98"/>
      <c r="I360" s="98"/>
      <c r="J360" s="98"/>
      <c r="K360" s="98"/>
      <c r="L360" s="98"/>
      <c r="M360" s="98"/>
      <c r="N360" s="98"/>
      <c r="O360" s="98"/>
      <c r="P360" s="98"/>
      <c r="Q360" s="98"/>
      <c r="R360" s="98"/>
      <c r="S360" s="98"/>
      <c r="T360" s="98"/>
      <c r="U360" s="98"/>
      <c r="V360" s="98"/>
      <c r="W360" s="98"/>
      <c r="X360" s="98"/>
      <c r="Y360" s="98"/>
      <c r="Z360" s="98"/>
      <c r="AA360" s="98"/>
      <c r="AB360" s="98"/>
      <c r="AC360" s="98"/>
    </row>
    <row r="361">
      <c r="A361" s="98"/>
      <c r="B361" s="98"/>
      <c r="C361" s="98"/>
      <c r="D361" s="98"/>
      <c r="E361" s="121"/>
      <c r="F361" s="98"/>
      <c r="G361" s="98"/>
      <c r="H361" s="98"/>
      <c r="I361" s="98"/>
      <c r="J361" s="98"/>
      <c r="K361" s="98"/>
      <c r="L361" s="98"/>
      <c r="M361" s="98"/>
      <c r="N361" s="98"/>
      <c r="O361" s="98"/>
      <c r="P361" s="98"/>
      <c r="Q361" s="98"/>
      <c r="R361" s="98"/>
      <c r="S361" s="98"/>
      <c r="T361" s="98"/>
      <c r="U361" s="98"/>
      <c r="V361" s="98"/>
      <c r="W361" s="98"/>
      <c r="X361" s="98"/>
      <c r="Y361" s="98"/>
      <c r="Z361" s="98"/>
      <c r="AA361" s="98"/>
      <c r="AB361" s="98"/>
      <c r="AC361" s="98"/>
    </row>
    <row r="362">
      <c r="A362" s="98"/>
      <c r="B362" s="98"/>
      <c r="C362" s="98"/>
      <c r="D362" s="98"/>
      <c r="E362" s="121"/>
      <c r="F362" s="98"/>
      <c r="G362" s="98"/>
      <c r="H362" s="98"/>
      <c r="I362" s="98"/>
      <c r="J362" s="98"/>
      <c r="K362" s="98"/>
      <c r="L362" s="98"/>
      <c r="M362" s="98"/>
      <c r="N362" s="98"/>
      <c r="O362" s="98"/>
      <c r="P362" s="98"/>
      <c r="Q362" s="98"/>
      <c r="R362" s="98"/>
      <c r="S362" s="98"/>
      <c r="T362" s="98"/>
      <c r="U362" s="98"/>
      <c r="V362" s="98"/>
      <c r="W362" s="98"/>
      <c r="X362" s="98"/>
      <c r="Y362" s="98"/>
      <c r="Z362" s="98"/>
      <c r="AA362" s="98"/>
      <c r="AB362" s="98"/>
      <c r="AC362" s="98"/>
    </row>
    <row r="363">
      <c r="A363" s="98"/>
      <c r="B363" s="98"/>
      <c r="C363" s="98"/>
      <c r="D363" s="98"/>
      <c r="E363" s="121"/>
      <c r="F363" s="98"/>
      <c r="G363" s="98"/>
      <c r="H363" s="98"/>
      <c r="I363" s="98"/>
      <c r="J363" s="98"/>
      <c r="K363" s="98"/>
      <c r="L363" s="98"/>
      <c r="M363" s="98"/>
      <c r="N363" s="98"/>
      <c r="O363" s="98"/>
      <c r="P363" s="98"/>
      <c r="Q363" s="98"/>
      <c r="R363" s="98"/>
      <c r="S363" s="98"/>
      <c r="T363" s="98"/>
      <c r="U363" s="98"/>
      <c r="V363" s="98"/>
      <c r="W363" s="98"/>
      <c r="X363" s="98"/>
      <c r="Y363" s="98"/>
      <c r="Z363" s="98"/>
      <c r="AA363" s="98"/>
      <c r="AB363" s="98"/>
      <c r="AC363" s="98"/>
    </row>
    <row r="364">
      <c r="A364" s="98"/>
      <c r="B364" s="98"/>
      <c r="C364" s="98"/>
      <c r="D364" s="98"/>
      <c r="E364" s="121"/>
      <c r="F364" s="98"/>
      <c r="G364" s="98"/>
      <c r="H364" s="98"/>
      <c r="I364" s="98"/>
      <c r="J364" s="98"/>
      <c r="K364" s="98"/>
      <c r="L364" s="98"/>
      <c r="M364" s="98"/>
      <c r="N364" s="98"/>
      <c r="O364" s="98"/>
      <c r="P364" s="98"/>
      <c r="Q364" s="98"/>
      <c r="R364" s="98"/>
      <c r="S364" s="98"/>
      <c r="T364" s="98"/>
      <c r="U364" s="98"/>
      <c r="V364" s="98"/>
      <c r="W364" s="98"/>
      <c r="X364" s="98"/>
      <c r="Y364" s="98"/>
      <c r="Z364" s="98"/>
      <c r="AA364" s="98"/>
      <c r="AB364" s="98"/>
      <c r="AC364" s="98"/>
    </row>
    <row r="365">
      <c r="A365" s="98"/>
      <c r="B365" s="98"/>
      <c r="C365" s="98"/>
      <c r="D365" s="98"/>
      <c r="E365" s="121"/>
      <c r="F365" s="98"/>
      <c r="G365" s="98"/>
      <c r="H365" s="98"/>
      <c r="I365" s="98"/>
      <c r="J365" s="98"/>
      <c r="K365" s="98"/>
      <c r="L365" s="98"/>
      <c r="M365" s="98"/>
      <c r="N365" s="98"/>
      <c r="O365" s="98"/>
      <c r="P365" s="98"/>
      <c r="Q365" s="98"/>
      <c r="R365" s="98"/>
      <c r="S365" s="98"/>
      <c r="T365" s="98"/>
      <c r="U365" s="98"/>
      <c r="V365" s="98"/>
      <c r="W365" s="98"/>
      <c r="X365" s="98"/>
      <c r="Y365" s="98"/>
      <c r="Z365" s="98"/>
      <c r="AA365" s="98"/>
      <c r="AB365" s="98"/>
      <c r="AC365" s="98"/>
    </row>
    <row r="366">
      <c r="A366" s="98"/>
      <c r="B366" s="98"/>
      <c r="C366" s="98"/>
      <c r="D366" s="98"/>
      <c r="E366" s="121"/>
      <c r="F366" s="98"/>
      <c r="G366" s="98"/>
      <c r="H366" s="98"/>
      <c r="I366" s="98"/>
      <c r="J366" s="98"/>
      <c r="K366" s="98"/>
      <c r="L366" s="98"/>
      <c r="M366" s="98"/>
      <c r="N366" s="98"/>
      <c r="O366" s="98"/>
      <c r="P366" s="98"/>
      <c r="Q366" s="98"/>
      <c r="R366" s="98"/>
      <c r="S366" s="98"/>
      <c r="T366" s="98"/>
      <c r="U366" s="98"/>
      <c r="V366" s="98"/>
      <c r="W366" s="98"/>
      <c r="X366" s="98"/>
      <c r="Y366" s="98"/>
      <c r="Z366" s="98"/>
      <c r="AA366" s="98"/>
      <c r="AB366" s="98"/>
      <c r="AC366" s="98"/>
    </row>
    <row r="367">
      <c r="A367" s="98"/>
      <c r="B367" s="98"/>
      <c r="C367" s="98"/>
      <c r="D367" s="98"/>
      <c r="E367" s="121"/>
      <c r="F367" s="98"/>
      <c r="G367" s="98"/>
      <c r="H367" s="98"/>
      <c r="I367" s="98"/>
      <c r="J367" s="98"/>
      <c r="K367" s="98"/>
      <c r="L367" s="98"/>
      <c r="M367" s="98"/>
      <c r="N367" s="98"/>
      <c r="O367" s="98"/>
      <c r="P367" s="98"/>
      <c r="Q367" s="98"/>
      <c r="R367" s="98"/>
      <c r="S367" s="98"/>
      <c r="T367" s="98"/>
      <c r="U367" s="98"/>
      <c r="V367" s="98"/>
      <c r="W367" s="98"/>
      <c r="X367" s="98"/>
      <c r="Y367" s="98"/>
      <c r="Z367" s="98"/>
      <c r="AA367" s="98"/>
      <c r="AB367" s="98"/>
      <c r="AC367" s="98"/>
    </row>
    <row r="368">
      <c r="A368" s="98"/>
      <c r="B368" s="98"/>
      <c r="C368" s="98"/>
      <c r="D368" s="98"/>
      <c r="E368" s="121"/>
      <c r="F368" s="98"/>
      <c r="G368" s="98"/>
      <c r="H368" s="98"/>
      <c r="I368" s="98"/>
      <c r="J368" s="98"/>
      <c r="K368" s="98"/>
      <c r="L368" s="98"/>
      <c r="M368" s="98"/>
      <c r="N368" s="98"/>
      <c r="O368" s="98"/>
      <c r="P368" s="98"/>
      <c r="Q368" s="98"/>
      <c r="R368" s="98"/>
      <c r="S368" s="98"/>
      <c r="T368" s="98"/>
      <c r="U368" s="98"/>
      <c r="V368" s="98"/>
      <c r="W368" s="98"/>
      <c r="X368" s="98"/>
      <c r="Y368" s="98"/>
      <c r="Z368" s="98"/>
      <c r="AA368" s="98"/>
      <c r="AB368" s="98"/>
      <c r="AC368" s="98"/>
    </row>
    <row r="369">
      <c r="A369" s="98"/>
      <c r="B369" s="98"/>
      <c r="C369" s="98"/>
      <c r="D369" s="98"/>
      <c r="E369" s="121"/>
      <c r="F369" s="98"/>
      <c r="G369" s="98"/>
      <c r="H369" s="98"/>
      <c r="I369" s="98"/>
      <c r="J369" s="98"/>
      <c r="K369" s="98"/>
      <c r="L369" s="98"/>
      <c r="M369" s="98"/>
      <c r="N369" s="98"/>
      <c r="O369" s="98"/>
      <c r="P369" s="98"/>
      <c r="Q369" s="98"/>
      <c r="R369" s="98"/>
      <c r="S369" s="98"/>
      <c r="T369" s="98"/>
      <c r="U369" s="98"/>
      <c r="V369" s="98"/>
      <c r="W369" s="98"/>
      <c r="X369" s="98"/>
      <c r="Y369" s="98"/>
      <c r="Z369" s="98"/>
      <c r="AA369" s="98"/>
      <c r="AB369" s="98"/>
      <c r="AC369" s="98"/>
    </row>
    <row r="370">
      <c r="A370" s="98"/>
      <c r="B370" s="98"/>
      <c r="C370" s="98"/>
      <c r="D370" s="98"/>
      <c r="E370" s="121"/>
      <c r="F370" s="98"/>
      <c r="G370" s="98"/>
      <c r="H370" s="98"/>
      <c r="I370" s="98"/>
      <c r="J370" s="98"/>
      <c r="K370" s="98"/>
      <c r="L370" s="98"/>
      <c r="M370" s="98"/>
      <c r="N370" s="98"/>
      <c r="O370" s="98"/>
      <c r="P370" s="98"/>
      <c r="Q370" s="98"/>
      <c r="R370" s="98"/>
      <c r="S370" s="98"/>
      <c r="T370" s="98"/>
      <c r="U370" s="98"/>
      <c r="V370" s="98"/>
      <c r="W370" s="98"/>
      <c r="X370" s="98"/>
      <c r="Y370" s="98"/>
      <c r="Z370" s="98"/>
      <c r="AA370" s="98"/>
      <c r="AB370" s="98"/>
      <c r="AC370" s="98"/>
    </row>
    <row r="371">
      <c r="A371" s="98"/>
      <c r="B371" s="98"/>
      <c r="C371" s="98"/>
      <c r="D371" s="98"/>
      <c r="E371" s="121"/>
      <c r="F371" s="98"/>
      <c r="G371" s="98"/>
      <c r="H371" s="98"/>
      <c r="I371" s="98"/>
      <c r="J371" s="98"/>
      <c r="K371" s="98"/>
      <c r="L371" s="98"/>
      <c r="M371" s="98"/>
      <c r="N371" s="98"/>
      <c r="O371" s="98"/>
      <c r="P371" s="98"/>
      <c r="Q371" s="98"/>
      <c r="R371" s="98"/>
      <c r="S371" s="98"/>
      <c r="T371" s="98"/>
      <c r="U371" s="98"/>
      <c r="V371" s="98"/>
      <c r="W371" s="98"/>
      <c r="X371" s="98"/>
      <c r="Y371" s="98"/>
      <c r="Z371" s="98"/>
      <c r="AA371" s="98"/>
      <c r="AB371" s="98"/>
      <c r="AC371" s="98"/>
    </row>
    <row r="372">
      <c r="A372" s="98"/>
      <c r="B372" s="98"/>
      <c r="C372" s="98"/>
      <c r="D372" s="98"/>
      <c r="E372" s="121"/>
      <c r="F372" s="98"/>
      <c r="G372" s="98"/>
      <c r="H372" s="98"/>
      <c r="I372" s="98"/>
      <c r="J372" s="98"/>
      <c r="K372" s="98"/>
      <c r="L372" s="98"/>
      <c r="M372" s="98"/>
      <c r="N372" s="98"/>
      <c r="O372" s="98"/>
      <c r="P372" s="98"/>
      <c r="Q372" s="98"/>
      <c r="R372" s="98"/>
      <c r="S372" s="98"/>
      <c r="T372" s="98"/>
      <c r="U372" s="98"/>
      <c r="V372" s="98"/>
      <c r="W372" s="98"/>
      <c r="X372" s="98"/>
      <c r="Y372" s="98"/>
      <c r="Z372" s="98"/>
      <c r="AA372" s="98"/>
      <c r="AB372" s="98"/>
      <c r="AC372" s="98"/>
    </row>
    <row r="373">
      <c r="A373" s="98"/>
      <c r="B373" s="98"/>
      <c r="C373" s="98"/>
      <c r="D373" s="98"/>
      <c r="E373" s="121"/>
      <c r="F373" s="98"/>
      <c r="G373" s="98"/>
      <c r="H373" s="98"/>
      <c r="I373" s="98"/>
      <c r="J373" s="98"/>
      <c r="K373" s="98"/>
      <c r="L373" s="98"/>
      <c r="M373" s="98"/>
      <c r="N373" s="98"/>
      <c r="O373" s="98"/>
      <c r="P373" s="98"/>
      <c r="Q373" s="98"/>
      <c r="R373" s="98"/>
      <c r="S373" s="98"/>
      <c r="T373" s="98"/>
      <c r="U373" s="98"/>
      <c r="V373" s="98"/>
      <c r="W373" s="98"/>
      <c r="X373" s="98"/>
      <c r="Y373" s="98"/>
      <c r="Z373" s="98"/>
      <c r="AA373" s="98"/>
      <c r="AB373" s="98"/>
      <c r="AC373" s="98"/>
    </row>
    <row r="374">
      <c r="A374" s="98"/>
      <c r="B374" s="98"/>
      <c r="C374" s="98"/>
      <c r="D374" s="98"/>
      <c r="E374" s="121"/>
      <c r="F374" s="98"/>
      <c r="G374" s="98"/>
      <c r="H374" s="98"/>
      <c r="I374" s="98"/>
      <c r="J374" s="98"/>
      <c r="K374" s="98"/>
      <c r="L374" s="98"/>
      <c r="M374" s="98"/>
      <c r="N374" s="98"/>
      <c r="O374" s="98"/>
      <c r="P374" s="98"/>
      <c r="Q374" s="98"/>
      <c r="R374" s="98"/>
      <c r="S374" s="98"/>
      <c r="T374" s="98"/>
      <c r="U374" s="98"/>
      <c r="V374" s="98"/>
      <c r="W374" s="98"/>
      <c r="X374" s="98"/>
      <c r="Y374" s="98"/>
      <c r="Z374" s="98"/>
      <c r="AA374" s="98"/>
      <c r="AB374" s="98"/>
      <c r="AC374" s="98"/>
    </row>
    <row r="375">
      <c r="A375" s="98"/>
      <c r="B375" s="98"/>
      <c r="C375" s="98"/>
      <c r="D375" s="98"/>
      <c r="E375" s="121"/>
      <c r="F375" s="98"/>
      <c r="G375" s="98"/>
      <c r="H375" s="98"/>
      <c r="I375" s="98"/>
      <c r="J375" s="98"/>
      <c r="K375" s="98"/>
      <c r="L375" s="98"/>
      <c r="M375" s="98"/>
      <c r="N375" s="98"/>
      <c r="O375" s="98"/>
      <c r="P375" s="98"/>
      <c r="Q375" s="98"/>
      <c r="R375" s="98"/>
      <c r="S375" s="98"/>
      <c r="T375" s="98"/>
      <c r="U375" s="98"/>
      <c r="V375" s="98"/>
      <c r="W375" s="98"/>
      <c r="X375" s="98"/>
      <c r="Y375" s="98"/>
      <c r="Z375" s="98"/>
      <c r="AA375" s="98"/>
      <c r="AB375" s="98"/>
      <c r="AC375" s="98"/>
    </row>
    <row r="376">
      <c r="A376" s="98"/>
      <c r="B376" s="98"/>
      <c r="C376" s="98"/>
      <c r="D376" s="98"/>
      <c r="E376" s="121"/>
      <c r="F376" s="98"/>
      <c r="G376" s="98"/>
      <c r="H376" s="98"/>
      <c r="I376" s="98"/>
      <c r="J376" s="98"/>
      <c r="K376" s="98"/>
      <c r="L376" s="98"/>
      <c r="M376" s="98"/>
      <c r="N376" s="98"/>
      <c r="O376" s="98"/>
      <c r="P376" s="98"/>
      <c r="Q376" s="98"/>
      <c r="R376" s="98"/>
      <c r="S376" s="98"/>
      <c r="T376" s="98"/>
      <c r="U376" s="98"/>
      <c r="V376" s="98"/>
      <c r="W376" s="98"/>
      <c r="X376" s="98"/>
      <c r="Y376" s="98"/>
      <c r="Z376" s="98"/>
      <c r="AA376" s="98"/>
      <c r="AB376" s="98"/>
      <c r="AC376" s="98"/>
    </row>
    <row r="377">
      <c r="A377" s="98"/>
      <c r="B377" s="98"/>
      <c r="C377" s="98"/>
      <c r="D377" s="98"/>
      <c r="E377" s="121"/>
      <c r="F377" s="98"/>
      <c r="G377" s="98"/>
      <c r="H377" s="98"/>
      <c r="I377" s="98"/>
      <c r="J377" s="98"/>
      <c r="K377" s="98"/>
      <c r="L377" s="98"/>
      <c r="M377" s="98"/>
      <c r="N377" s="98"/>
      <c r="O377" s="98"/>
      <c r="P377" s="98"/>
      <c r="Q377" s="98"/>
      <c r="R377" s="98"/>
      <c r="S377" s="98"/>
      <c r="T377" s="98"/>
      <c r="U377" s="98"/>
      <c r="V377" s="98"/>
      <c r="W377" s="98"/>
      <c r="X377" s="98"/>
      <c r="Y377" s="98"/>
      <c r="Z377" s="98"/>
      <c r="AA377" s="98"/>
      <c r="AB377" s="98"/>
      <c r="AC377" s="98"/>
    </row>
    <row r="378">
      <c r="A378" s="98"/>
      <c r="B378" s="98"/>
      <c r="C378" s="98"/>
      <c r="D378" s="98"/>
      <c r="E378" s="121"/>
      <c r="F378" s="98"/>
      <c r="G378" s="98"/>
      <c r="H378" s="98"/>
      <c r="I378" s="98"/>
      <c r="J378" s="98"/>
      <c r="K378" s="98"/>
      <c r="L378" s="98"/>
      <c r="M378" s="98"/>
      <c r="N378" s="98"/>
      <c r="O378" s="98"/>
      <c r="P378" s="98"/>
      <c r="Q378" s="98"/>
      <c r="R378" s="98"/>
      <c r="S378" s="98"/>
      <c r="T378" s="98"/>
      <c r="U378" s="98"/>
      <c r="V378" s="98"/>
      <c r="W378" s="98"/>
      <c r="X378" s="98"/>
      <c r="Y378" s="98"/>
      <c r="Z378" s="98"/>
      <c r="AA378" s="98"/>
      <c r="AB378" s="98"/>
      <c r="AC378" s="98"/>
    </row>
    <row r="379">
      <c r="A379" s="98"/>
      <c r="B379" s="98"/>
      <c r="C379" s="98"/>
      <c r="D379" s="98"/>
      <c r="E379" s="121"/>
      <c r="F379" s="98"/>
      <c r="G379" s="98"/>
      <c r="H379" s="98"/>
      <c r="I379" s="98"/>
      <c r="J379" s="98"/>
      <c r="K379" s="98"/>
      <c r="L379" s="98"/>
      <c r="M379" s="98"/>
      <c r="N379" s="98"/>
      <c r="O379" s="98"/>
      <c r="P379" s="98"/>
      <c r="Q379" s="98"/>
      <c r="R379" s="98"/>
      <c r="S379" s="98"/>
      <c r="T379" s="98"/>
      <c r="U379" s="98"/>
      <c r="V379" s="98"/>
      <c r="W379" s="98"/>
      <c r="X379" s="98"/>
      <c r="Y379" s="98"/>
      <c r="Z379" s="98"/>
      <c r="AA379" s="98"/>
      <c r="AB379" s="98"/>
      <c r="AC379" s="98"/>
    </row>
    <row r="380">
      <c r="A380" s="98"/>
      <c r="B380" s="98"/>
      <c r="C380" s="98"/>
      <c r="D380" s="98"/>
      <c r="E380" s="121"/>
      <c r="F380" s="98"/>
      <c r="G380" s="98"/>
      <c r="H380" s="98"/>
      <c r="I380" s="98"/>
      <c r="J380" s="98"/>
      <c r="K380" s="98"/>
      <c r="L380" s="98"/>
      <c r="M380" s="98"/>
      <c r="N380" s="98"/>
      <c r="O380" s="98"/>
      <c r="P380" s="98"/>
      <c r="Q380" s="98"/>
      <c r="R380" s="98"/>
      <c r="S380" s="98"/>
      <c r="T380" s="98"/>
      <c r="U380" s="98"/>
      <c r="V380" s="98"/>
      <c r="W380" s="98"/>
      <c r="X380" s="98"/>
      <c r="Y380" s="98"/>
      <c r="Z380" s="98"/>
      <c r="AA380" s="98"/>
      <c r="AB380" s="98"/>
      <c r="AC380" s="98"/>
    </row>
    <row r="381">
      <c r="A381" s="98"/>
      <c r="B381" s="98"/>
      <c r="C381" s="98"/>
      <c r="D381" s="98"/>
      <c r="E381" s="121"/>
      <c r="F381" s="98"/>
      <c r="G381" s="98"/>
      <c r="H381" s="98"/>
      <c r="I381" s="98"/>
      <c r="J381" s="98"/>
      <c r="K381" s="98"/>
      <c r="L381" s="98"/>
      <c r="M381" s="98"/>
      <c r="N381" s="98"/>
      <c r="O381" s="98"/>
      <c r="P381" s="98"/>
      <c r="Q381" s="98"/>
      <c r="R381" s="98"/>
      <c r="S381" s="98"/>
      <c r="T381" s="98"/>
      <c r="U381" s="98"/>
      <c r="V381" s="98"/>
      <c r="W381" s="98"/>
      <c r="X381" s="98"/>
      <c r="Y381" s="98"/>
      <c r="Z381" s="98"/>
      <c r="AA381" s="98"/>
      <c r="AB381" s="98"/>
      <c r="AC381" s="98"/>
    </row>
    <row r="382">
      <c r="A382" s="98"/>
      <c r="B382" s="98"/>
      <c r="C382" s="98"/>
      <c r="D382" s="98"/>
      <c r="E382" s="121"/>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row>
    <row r="383">
      <c r="A383" s="98"/>
      <c r="B383" s="98"/>
      <c r="C383" s="98"/>
      <c r="D383" s="98"/>
      <c r="E383" s="121"/>
      <c r="F383" s="98"/>
      <c r="G383" s="98"/>
      <c r="H383" s="98"/>
      <c r="I383" s="98"/>
      <c r="J383" s="98"/>
      <c r="K383" s="98"/>
      <c r="L383" s="98"/>
      <c r="M383" s="98"/>
      <c r="N383" s="98"/>
      <c r="O383" s="98"/>
      <c r="P383" s="98"/>
      <c r="Q383" s="98"/>
      <c r="R383" s="98"/>
      <c r="S383" s="98"/>
      <c r="T383" s="98"/>
      <c r="U383" s="98"/>
      <c r="V383" s="98"/>
      <c r="W383" s="98"/>
      <c r="X383" s="98"/>
      <c r="Y383" s="98"/>
      <c r="Z383" s="98"/>
      <c r="AA383" s="98"/>
      <c r="AB383" s="98"/>
      <c r="AC383" s="98"/>
    </row>
    <row r="384">
      <c r="A384" s="98"/>
      <c r="B384" s="98"/>
      <c r="C384" s="98"/>
      <c r="D384" s="98"/>
      <c r="E384" s="121"/>
      <c r="F384" s="98"/>
      <c r="G384" s="98"/>
      <c r="H384" s="98"/>
      <c r="I384" s="98"/>
      <c r="J384" s="98"/>
      <c r="K384" s="98"/>
      <c r="L384" s="98"/>
      <c r="M384" s="98"/>
      <c r="N384" s="98"/>
      <c r="O384" s="98"/>
      <c r="P384" s="98"/>
      <c r="Q384" s="98"/>
      <c r="R384" s="98"/>
      <c r="S384" s="98"/>
      <c r="T384" s="98"/>
      <c r="U384" s="98"/>
      <c r="V384" s="98"/>
      <c r="W384" s="98"/>
      <c r="X384" s="98"/>
      <c r="Y384" s="98"/>
      <c r="Z384" s="98"/>
      <c r="AA384" s="98"/>
      <c r="AB384" s="98"/>
      <c r="AC384" s="98"/>
    </row>
    <row r="385">
      <c r="A385" s="98"/>
      <c r="B385" s="98"/>
      <c r="C385" s="98"/>
      <c r="D385" s="98"/>
      <c r="E385" s="121"/>
      <c r="F385" s="98"/>
      <c r="G385" s="98"/>
      <c r="H385" s="98"/>
      <c r="I385" s="98"/>
      <c r="J385" s="98"/>
      <c r="K385" s="98"/>
      <c r="L385" s="98"/>
      <c r="M385" s="98"/>
      <c r="N385" s="98"/>
      <c r="O385" s="98"/>
      <c r="P385" s="98"/>
      <c r="Q385" s="98"/>
      <c r="R385" s="98"/>
      <c r="S385" s="98"/>
      <c r="T385" s="98"/>
      <c r="U385" s="98"/>
      <c r="V385" s="98"/>
      <c r="W385" s="98"/>
      <c r="X385" s="98"/>
      <c r="Y385" s="98"/>
      <c r="Z385" s="98"/>
      <c r="AA385" s="98"/>
      <c r="AB385" s="98"/>
      <c r="AC385" s="98"/>
    </row>
    <row r="386">
      <c r="A386" s="98"/>
      <c r="B386" s="98"/>
      <c r="C386" s="98"/>
      <c r="D386" s="98"/>
      <c r="E386" s="121"/>
      <c r="F386" s="98"/>
      <c r="G386" s="98"/>
      <c r="H386" s="98"/>
      <c r="I386" s="98"/>
      <c r="J386" s="98"/>
      <c r="K386" s="98"/>
      <c r="L386" s="98"/>
      <c r="M386" s="98"/>
      <c r="N386" s="98"/>
      <c r="O386" s="98"/>
      <c r="P386" s="98"/>
      <c r="Q386" s="98"/>
      <c r="R386" s="98"/>
      <c r="S386" s="98"/>
      <c r="T386" s="98"/>
      <c r="U386" s="98"/>
      <c r="V386" s="98"/>
      <c r="W386" s="98"/>
      <c r="X386" s="98"/>
      <c r="Y386" s="98"/>
      <c r="Z386" s="98"/>
      <c r="AA386" s="98"/>
      <c r="AB386" s="98"/>
      <c r="AC386" s="98"/>
    </row>
    <row r="387">
      <c r="A387" s="98"/>
      <c r="B387" s="98"/>
      <c r="C387" s="98"/>
      <c r="D387" s="98"/>
      <c r="E387" s="121"/>
      <c r="F387" s="98"/>
      <c r="G387" s="98"/>
      <c r="H387" s="98"/>
      <c r="I387" s="98"/>
      <c r="J387" s="98"/>
      <c r="K387" s="98"/>
      <c r="L387" s="98"/>
      <c r="M387" s="98"/>
      <c r="N387" s="98"/>
      <c r="O387" s="98"/>
      <c r="P387" s="98"/>
      <c r="Q387" s="98"/>
      <c r="R387" s="98"/>
      <c r="S387" s="98"/>
      <c r="T387" s="98"/>
      <c r="U387" s="98"/>
      <c r="V387" s="98"/>
      <c r="W387" s="98"/>
      <c r="X387" s="98"/>
      <c r="Y387" s="98"/>
      <c r="Z387" s="98"/>
      <c r="AA387" s="98"/>
      <c r="AB387" s="98"/>
      <c r="AC387" s="98"/>
    </row>
    <row r="388">
      <c r="A388" s="98"/>
      <c r="B388" s="98"/>
      <c r="C388" s="98"/>
      <c r="D388" s="98"/>
      <c r="E388" s="121"/>
      <c r="F388" s="98"/>
      <c r="G388" s="98"/>
      <c r="H388" s="98"/>
      <c r="I388" s="98"/>
      <c r="J388" s="98"/>
      <c r="K388" s="98"/>
      <c r="L388" s="98"/>
      <c r="M388" s="98"/>
      <c r="N388" s="98"/>
      <c r="O388" s="98"/>
      <c r="P388" s="98"/>
      <c r="Q388" s="98"/>
      <c r="R388" s="98"/>
      <c r="S388" s="98"/>
      <c r="T388" s="98"/>
      <c r="U388" s="98"/>
      <c r="V388" s="98"/>
      <c r="W388" s="98"/>
      <c r="X388" s="98"/>
      <c r="Y388" s="98"/>
      <c r="Z388" s="98"/>
      <c r="AA388" s="98"/>
      <c r="AB388" s="98"/>
      <c r="AC388" s="98"/>
    </row>
    <row r="389">
      <c r="A389" s="98"/>
      <c r="B389" s="98"/>
      <c r="C389" s="98"/>
      <c r="D389" s="98"/>
      <c r="E389" s="121"/>
      <c r="F389" s="98"/>
      <c r="G389" s="98"/>
      <c r="H389" s="98"/>
      <c r="I389" s="98"/>
      <c r="J389" s="98"/>
      <c r="K389" s="98"/>
      <c r="L389" s="98"/>
      <c r="M389" s="98"/>
      <c r="N389" s="98"/>
      <c r="O389" s="98"/>
      <c r="P389" s="98"/>
      <c r="Q389" s="98"/>
      <c r="R389" s="98"/>
      <c r="S389" s="98"/>
      <c r="T389" s="98"/>
      <c r="U389" s="98"/>
      <c r="V389" s="98"/>
      <c r="W389" s="98"/>
      <c r="X389" s="98"/>
      <c r="Y389" s="98"/>
      <c r="Z389" s="98"/>
      <c r="AA389" s="98"/>
      <c r="AB389" s="98"/>
      <c r="AC389" s="98"/>
    </row>
    <row r="390">
      <c r="A390" s="98"/>
      <c r="B390" s="98"/>
      <c r="C390" s="98"/>
      <c r="D390" s="98"/>
      <c r="E390" s="121"/>
      <c r="F390" s="98"/>
      <c r="G390" s="98"/>
      <c r="H390" s="98"/>
      <c r="I390" s="98"/>
      <c r="J390" s="98"/>
      <c r="K390" s="98"/>
      <c r="L390" s="98"/>
      <c r="M390" s="98"/>
      <c r="N390" s="98"/>
      <c r="O390" s="98"/>
      <c r="P390" s="98"/>
      <c r="Q390" s="98"/>
      <c r="R390" s="98"/>
      <c r="S390" s="98"/>
      <c r="T390" s="98"/>
      <c r="U390" s="98"/>
      <c r="V390" s="98"/>
      <c r="W390" s="98"/>
      <c r="X390" s="98"/>
      <c r="Y390" s="98"/>
      <c r="Z390" s="98"/>
      <c r="AA390" s="98"/>
      <c r="AB390" s="98"/>
      <c r="AC390" s="98"/>
    </row>
    <row r="391">
      <c r="A391" s="98"/>
      <c r="B391" s="98"/>
      <c r="C391" s="98"/>
      <c r="D391" s="98"/>
      <c r="E391" s="121"/>
      <c r="F391" s="98"/>
      <c r="G391" s="98"/>
      <c r="H391" s="98"/>
      <c r="I391" s="98"/>
      <c r="J391" s="98"/>
      <c r="K391" s="98"/>
      <c r="L391" s="98"/>
      <c r="M391" s="98"/>
      <c r="N391" s="98"/>
      <c r="O391" s="98"/>
      <c r="P391" s="98"/>
      <c r="Q391" s="98"/>
      <c r="R391" s="98"/>
      <c r="S391" s="98"/>
      <c r="T391" s="98"/>
      <c r="U391" s="98"/>
      <c r="V391" s="98"/>
      <c r="W391" s="98"/>
      <c r="X391" s="98"/>
      <c r="Y391" s="98"/>
      <c r="Z391" s="98"/>
      <c r="AA391" s="98"/>
      <c r="AB391" s="98"/>
      <c r="AC391" s="98"/>
    </row>
    <row r="392">
      <c r="A392" s="98"/>
      <c r="B392" s="98"/>
      <c r="C392" s="98"/>
      <c r="D392" s="98"/>
      <c r="E392" s="121"/>
      <c r="F392" s="98"/>
      <c r="G392" s="98"/>
      <c r="H392" s="98"/>
      <c r="I392" s="98"/>
      <c r="J392" s="98"/>
      <c r="K392" s="98"/>
      <c r="L392" s="98"/>
      <c r="M392" s="98"/>
      <c r="N392" s="98"/>
      <c r="O392" s="98"/>
      <c r="P392" s="98"/>
      <c r="Q392" s="98"/>
      <c r="R392" s="98"/>
      <c r="S392" s="98"/>
      <c r="T392" s="98"/>
      <c r="U392" s="98"/>
      <c r="V392" s="98"/>
      <c r="W392" s="98"/>
      <c r="X392" s="98"/>
      <c r="Y392" s="98"/>
      <c r="Z392" s="98"/>
      <c r="AA392" s="98"/>
      <c r="AB392" s="98"/>
      <c r="AC392" s="98"/>
    </row>
    <row r="393">
      <c r="A393" s="98"/>
      <c r="B393" s="98"/>
      <c r="C393" s="98"/>
      <c r="D393" s="98"/>
      <c r="E393" s="121"/>
      <c r="F393" s="98"/>
      <c r="G393" s="98"/>
      <c r="H393" s="98"/>
      <c r="I393" s="98"/>
      <c r="J393" s="98"/>
      <c r="K393" s="98"/>
      <c r="L393" s="98"/>
      <c r="M393" s="98"/>
      <c r="N393" s="98"/>
      <c r="O393" s="98"/>
      <c r="P393" s="98"/>
      <c r="Q393" s="98"/>
      <c r="R393" s="98"/>
      <c r="S393" s="98"/>
      <c r="T393" s="98"/>
      <c r="U393" s="98"/>
      <c r="V393" s="98"/>
      <c r="W393" s="98"/>
      <c r="X393" s="98"/>
      <c r="Y393" s="98"/>
      <c r="Z393" s="98"/>
      <c r="AA393" s="98"/>
      <c r="AB393" s="98"/>
      <c r="AC393" s="98"/>
    </row>
    <row r="394">
      <c r="A394" s="98"/>
      <c r="B394" s="98"/>
      <c r="C394" s="98"/>
      <c r="D394" s="98"/>
      <c r="E394" s="121"/>
      <c r="F394" s="98"/>
      <c r="G394" s="98"/>
      <c r="H394" s="98"/>
      <c r="I394" s="98"/>
      <c r="J394" s="98"/>
      <c r="K394" s="98"/>
      <c r="L394" s="98"/>
      <c r="M394" s="98"/>
      <c r="N394" s="98"/>
      <c r="O394" s="98"/>
      <c r="P394" s="98"/>
      <c r="Q394" s="98"/>
      <c r="R394" s="98"/>
      <c r="S394" s="98"/>
      <c r="T394" s="98"/>
      <c r="U394" s="98"/>
      <c r="V394" s="98"/>
      <c r="W394" s="98"/>
      <c r="X394" s="98"/>
      <c r="Y394" s="98"/>
      <c r="Z394" s="98"/>
      <c r="AA394" s="98"/>
      <c r="AB394" s="98"/>
      <c r="AC394" s="98"/>
    </row>
    <row r="395">
      <c r="A395" s="98"/>
      <c r="B395" s="98"/>
      <c r="C395" s="98"/>
      <c r="D395" s="98"/>
      <c r="E395" s="121"/>
      <c r="F395" s="98"/>
      <c r="G395" s="98"/>
      <c r="H395" s="98"/>
      <c r="I395" s="98"/>
      <c r="J395" s="98"/>
      <c r="K395" s="98"/>
      <c r="L395" s="98"/>
      <c r="M395" s="98"/>
      <c r="N395" s="98"/>
      <c r="O395" s="98"/>
      <c r="P395" s="98"/>
      <c r="Q395" s="98"/>
      <c r="R395" s="98"/>
      <c r="S395" s="98"/>
      <c r="T395" s="98"/>
      <c r="U395" s="98"/>
      <c r="V395" s="98"/>
      <c r="W395" s="98"/>
      <c r="X395" s="98"/>
      <c r="Y395" s="98"/>
      <c r="Z395" s="98"/>
      <c r="AA395" s="98"/>
      <c r="AB395" s="98"/>
      <c r="AC395" s="98"/>
    </row>
    <row r="396">
      <c r="A396" s="98"/>
      <c r="B396" s="98"/>
      <c r="C396" s="98"/>
      <c r="D396" s="98"/>
      <c r="E396" s="121"/>
      <c r="F396" s="98"/>
      <c r="G396" s="98"/>
      <c r="H396" s="98"/>
      <c r="I396" s="98"/>
      <c r="J396" s="98"/>
      <c r="K396" s="98"/>
      <c r="L396" s="98"/>
      <c r="M396" s="98"/>
      <c r="N396" s="98"/>
      <c r="O396" s="98"/>
      <c r="P396" s="98"/>
      <c r="Q396" s="98"/>
      <c r="R396" s="98"/>
      <c r="S396" s="98"/>
      <c r="T396" s="98"/>
      <c r="U396" s="98"/>
      <c r="V396" s="98"/>
      <c r="W396" s="98"/>
      <c r="X396" s="98"/>
      <c r="Y396" s="98"/>
      <c r="Z396" s="98"/>
      <c r="AA396" s="98"/>
      <c r="AB396" s="98"/>
      <c r="AC396" s="98"/>
    </row>
    <row r="397">
      <c r="A397" s="98"/>
      <c r="B397" s="98"/>
      <c r="C397" s="98"/>
      <c r="D397" s="98"/>
      <c r="E397" s="121"/>
      <c r="F397" s="98"/>
      <c r="G397" s="98"/>
      <c r="H397" s="98"/>
      <c r="I397" s="98"/>
      <c r="J397" s="98"/>
      <c r="K397" s="98"/>
      <c r="L397" s="98"/>
      <c r="M397" s="98"/>
      <c r="N397" s="98"/>
      <c r="O397" s="98"/>
      <c r="P397" s="98"/>
      <c r="Q397" s="98"/>
      <c r="R397" s="98"/>
      <c r="S397" s="98"/>
      <c r="T397" s="98"/>
      <c r="U397" s="98"/>
      <c r="V397" s="98"/>
      <c r="W397" s="98"/>
      <c r="X397" s="98"/>
      <c r="Y397" s="98"/>
      <c r="Z397" s="98"/>
      <c r="AA397" s="98"/>
      <c r="AB397" s="98"/>
      <c r="AC397" s="98"/>
    </row>
    <row r="398">
      <c r="A398" s="98"/>
      <c r="B398" s="98"/>
      <c r="C398" s="98"/>
      <c r="D398" s="98"/>
      <c r="E398" s="121"/>
      <c r="F398" s="98"/>
      <c r="G398" s="98"/>
      <c r="H398" s="98"/>
      <c r="I398" s="98"/>
      <c r="J398" s="98"/>
      <c r="K398" s="98"/>
      <c r="L398" s="98"/>
      <c r="M398" s="98"/>
      <c r="N398" s="98"/>
      <c r="O398" s="98"/>
      <c r="P398" s="98"/>
      <c r="Q398" s="98"/>
      <c r="R398" s="98"/>
      <c r="S398" s="98"/>
      <c r="T398" s="98"/>
      <c r="U398" s="98"/>
      <c r="V398" s="98"/>
      <c r="W398" s="98"/>
      <c r="X398" s="98"/>
      <c r="Y398" s="98"/>
      <c r="Z398" s="98"/>
      <c r="AA398" s="98"/>
      <c r="AB398" s="98"/>
      <c r="AC398" s="98"/>
    </row>
    <row r="399">
      <c r="A399" s="98"/>
      <c r="B399" s="98"/>
      <c r="C399" s="98"/>
      <c r="D399" s="98"/>
      <c r="E399" s="121"/>
      <c r="F399" s="98"/>
      <c r="G399" s="98"/>
      <c r="H399" s="98"/>
      <c r="I399" s="98"/>
      <c r="J399" s="98"/>
      <c r="K399" s="98"/>
      <c r="L399" s="98"/>
      <c r="M399" s="98"/>
      <c r="N399" s="98"/>
      <c r="O399" s="98"/>
      <c r="P399" s="98"/>
      <c r="Q399" s="98"/>
      <c r="R399" s="98"/>
      <c r="S399" s="98"/>
      <c r="T399" s="98"/>
      <c r="U399" s="98"/>
      <c r="V399" s="98"/>
      <c r="W399" s="98"/>
      <c r="X399" s="98"/>
      <c r="Y399" s="98"/>
      <c r="Z399" s="98"/>
      <c r="AA399" s="98"/>
      <c r="AB399" s="98"/>
      <c r="AC399" s="98"/>
    </row>
    <row r="400">
      <c r="A400" s="98"/>
      <c r="B400" s="98"/>
      <c r="C400" s="98"/>
      <c r="D400" s="98"/>
      <c r="E400" s="121"/>
      <c r="F400" s="98"/>
      <c r="G400" s="98"/>
      <c r="H400" s="98"/>
      <c r="I400" s="98"/>
      <c r="J400" s="98"/>
      <c r="K400" s="98"/>
      <c r="L400" s="98"/>
      <c r="M400" s="98"/>
      <c r="N400" s="98"/>
      <c r="O400" s="98"/>
      <c r="P400" s="98"/>
      <c r="Q400" s="98"/>
      <c r="R400" s="98"/>
      <c r="S400" s="98"/>
      <c r="T400" s="98"/>
      <c r="U400" s="98"/>
      <c r="V400" s="98"/>
      <c r="W400" s="98"/>
      <c r="X400" s="98"/>
      <c r="Y400" s="98"/>
      <c r="Z400" s="98"/>
      <c r="AA400" s="98"/>
      <c r="AB400" s="98"/>
      <c r="AC400" s="98"/>
    </row>
    <row r="401">
      <c r="A401" s="98"/>
      <c r="B401" s="98"/>
      <c r="C401" s="98"/>
      <c r="D401" s="98"/>
      <c r="E401" s="121"/>
      <c r="F401" s="98"/>
      <c r="G401" s="98"/>
      <c r="H401" s="98"/>
      <c r="I401" s="98"/>
      <c r="J401" s="98"/>
      <c r="K401" s="98"/>
      <c r="L401" s="98"/>
      <c r="M401" s="98"/>
      <c r="N401" s="98"/>
      <c r="O401" s="98"/>
      <c r="P401" s="98"/>
      <c r="Q401" s="98"/>
      <c r="R401" s="98"/>
      <c r="S401" s="98"/>
      <c r="T401" s="98"/>
      <c r="U401" s="98"/>
      <c r="V401" s="98"/>
      <c r="W401" s="98"/>
      <c r="X401" s="98"/>
      <c r="Y401" s="98"/>
      <c r="Z401" s="98"/>
      <c r="AA401" s="98"/>
      <c r="AB401" s="98"/>
      <c r="AC401" s="98"/>
    </row>
    <row r="402">
      <c r="A402" s="98"/>
      <c r="B402" s="98"/>
      <c r="C402" s="98"/>
      <c r="D402" s="98"/>
      <c r="E402" s="121"/>
      <c r="F402" s="98"/>
      <c r="G402" s="98"/>
      <c r="H402" s="98"/>
      <c r="I402" s="98"/>
      <c r="J402" s="98"/>
      <c r="K402" s="98"/>
      <c r="L402" s="98"/>
      <c r="M402" s="98"/>
      <c r="N402" s="98"/>
      <c r="O402" s="98"/>
      <c r="P402" s="98"/>
      <c r="Q402" s="98"/>
      <c r="R402" s="98"/>
      <c r="S402" s="98"/>
      <c r="T402" s="98"/>
      <c r="U402" s="98"/>
      <c r="V402" s="98"/>
      <c r="W402" s="98"/>
      <c r="X402" s="98"/>
      <c r="Y402" s="98"/>
      <c r="Z402" s="98"/>
      <c r="AA402" s="98"/>
      <c r="AB402" s="98"/>
      <c r="AC402" s="98"/>
    </row>
    <row r="403">
      <c r="A403" s="98"/>
      <c r="B403" s="98"/>
      <c r="C403" s="98"/>
      <c r="D403" s="98"/>
      <c r="E403" s="121"/>
      <c r="F403" s="98"/>
      <c r="G403" s="98"/>
      <c r="H403" s="98"/>
      <c r="I403" s="98"/>
      <c r="J403" s="98"/>
      <c r="K403" s="98"/>
      <c r="L403" s="98"/>
      <c r="M403" s="98"/>
      <c r="N403" s="98"/>
      <c r="O403" s="98"/>
      <c r="P403" s="98"/>
      <c r="Q403" s="98"/>
      <c r="R403" s="98"/>
      <c r="S403" s="98"/>
      <c r="T403" s="98"/>
      <c r="U403" s="98"/>
      <c r="V403" s="98"/>
      <c r="W403" s="98"/>
      <c r="X403" s="98"/>
      <c r="Y403" s="98"/>
      <c r="Z403" s="98"/>
      <c r="AA403" s="98"/>
      <c r="AB403" s="98"/>
      <c r="AC403" s="98"/>
    </row>
    <row r="404">
      <c r="A404" s="98"/>
      <c r="B404" s="98"/>
      <c r="C404" s="98"/>
      <c r="D404" s="98"/>
      <c r="E404" s="121"/>
      <c r="F404" s="98"/>
      <c r="G404" s="98"/>
      <c r="H404" s="98"/>
      <c r="I404" s="98"/>
      <c r="J404" s="98"/>
      <c r="K404" s="98"/>
      <c r="L404" s="98"/>
      <c r="M404" s="98"/>
      <c r="N404" s="98"/>
      <c r="O404" s="98"/>
      <c r="P404" s="98"/>
      <c r="Q404" s="98"/>
      <c r="R404" s="98"/>
      <c r="S404" s="98"/>
      <c r="T404" s="98"/>
      <c r="U404" s="98"/>
      <c r="V404" s="98"/>
      <c r="W404" s="98"/>
      <c r="X404" s="98"/>
      <c r="Y404" s="98"/>
      <c r="Z404" s="98"/>
      <c r="AA404" s="98"/>
      <c r="AB404" s="98"/>
      <c r="AC404" s="98"/>
    </row>
    <row r="405">
      <c r="A405" s="98"/>
      <c r="B405" s="98"/>
      <c r="C405" s="98"/>
      <c r="D405" s="98"/>
      <c r="E405" s="121"/>
      <c r="F405" s="98"/>
      <c r="G405" s="98"/>
      <c r="H405" s="98"/>
      <c r="I405" s="98"/>
      <c r="J405" s="98"/>
      <c r="K405" s="98"/>
      <c r="L405" s="98"/>
      <c r="M405" s="98"/>
      <c r="N405" s="98"/>
      <c r="O405" s="98"/>
      <c r="P405" s="98"/>
      <c r="Q405" s="98"/>
      <c r="R405" s="98"/>
      <c r="S405" s="98"/>
      <c r="T405" s="98"/>
      <c r="U405" s="98"/>
      <c r="V405" s="98"/>
      <c r="W405" s="98"/>
      <c r="X405" s="98"/>
      <c r="Y405" s="98"/>
      <c r="Z405" s="98"/>
      <c r="AA405" s="98"/>
      <c r="AB405" s="98"/>
      <c r="AC405" s="98"/>
    </row>
    <row r="406">
      <c r="A406" s="98"/>
      <c r="B406" s="98"/>
      <c r="C406" s="98"/>
      <c r="D406" s="98"/>
      <c r="E406" s="121"/>
      <c r="F406" s="98"/>
      <c r="G406" s="98"/>
      <c r="H406" s="98"/>
      <c r="I406" s="98"/>
      <c r="J406" s="98"/>
      <c r="K406" s="98"/>
      <c r="L406" s="98"/>
      <c r="M406" s="98"/>
      <c r="N406" s="98"/>
      <c r="O406" s="98"/>
      <c r="P406" s="98"/>
      <c r="Q406" s="98"/>
      <c r="R406" s="98"/>
      <c r="S406" s="98"/>
      <c r="T406" s="98"/>
      <c r="U406" s="98"/>
      <c r="V406" s="98"/>
      <c r="W406" s="98"/>
      <c r="X406" s="98"/>
      <c r="Y406" s="98"/>
      <c r="Z406" s="98"/>
      <c r="AA406" s="98"/>
      <c r="AB406" s="98"/>
      <c r="AC406" s="98"/>
    </row>
    <row r="407">
      <c r="A407" s="98"/>
      <c r="B407" s="98"/>
      <c r="C407" s="98"/>
      <c r="D407" s="98"/>
      <c r="E407" s="121"/>
      <c r="F407" s="98"/>
      <c r="G407" s="98"/>
      <c r="H407" s="98"/>
      <c r="I407" s="98"/>
      <c r="J407" s="98"/>
      <c r="K407" s="98"/>
      <c r="L407" s="98"/>
      <c r="M407" s="98"/>
      <c r="N407" s="98"/>
      <c r="O407" s="98"/>
      <c r="P407" s="98"/>
      <c r="Q407" s="98"/>
      <c r="R407" s="98"/>
      <c r="S407" s="98"/>
      <c r="T407" s="98"/>
      <c r="U407" s="98"/>
      <c r="V407" s="98"/>
      <c r="W407" s="98"/>
      <c r="X407" s="98"/>
      <c r="Y407" s="98"/>
      <c r="Z407" s="98"/>
      <c r="AA407" s="98"/>
      <c r="AB407" s="98"/>
      <c r="AC407" s="98"/>
    </row>
    <row r="408">
      <c r="A408" s="98"/>
      <c r="B408" s="98"/>
      <c r="C408" s="98"/>
      <c r="D408" s="98"/>
      <c r="E408" s="121"/>
      <c r="F408" s="98"/>
      <c r="G408" s="98"/>
      <c r="H408" s="98"/>
      <c r="I408" s="98"/>
      <c r="J408" s="98"/>
      <c r="K408" s="98"/>
      <c r="L408" s="98"/>
      <c r="M408" s="98"/>
      <c r="N408" s="98"/>
      <c r="O408" s="98"/>
      <c r="P408" s="98"/>
      <c r="Q408" s="98"/>
      <c r="R408" s="98"/>
      <c r="S408" s="98"/>
      <c r="T408" s="98"/>
      <c r="U408" s="98"/>
      <c r="V408" s="98"/>
      <c r="W408" s="98"/>
      <c r="X408" s="98"/>
      <c r="Y408" s="98"/>
      <c r="Z408" s="98"/>
      <c r="AA408" s="98"/>
      <c r="AB408" s="98"/>
      <c r="AC408" s="98"/>
    </row>
    <row r="409">
      <c r="A409" s="98"/>
      <c r="B409" s="98"/>
      <c r="C409" s="98"/>
      <c r="D409" s="98"/>
      <c r="E409" s="121"/>
      <c r="F409" s="98"/>
      <c r="G409" s="98"/>
      <c r="H409" s="98"/>
      <c r="I409" s="98"/>
      <c r="J409" s="98"/>
      <c r="K409" s="98"/>
      <c r="L409" s="98"/>
      <c r="M409" s="98"/>
      <c r="N409" s="98"/>
      <c r="O409" s="98"/>
      <c r="P409" s="98"/>
      <c r="Q409" s="98"/>
      <c r="R409" s="98"/>
      <c r="S409" s="98"/>
      <c r="T409" s="98"/>
      <c r="U409" s="98"/>
      <c r="V409" s="98"/>
      <c r="W409" s="98"/>
      <c r="X409" s="98"/>
      <c r="Y409" s="98"/>
      <c r="Z409" s="98"/>
      <c r="AA409" s="98"/>
      <c r="AB409" s="98"/>
      <c r="AC409" s="98"/>
    </row>
    <row r="410">
      <c r="A410" s="98"/>
      <c r="B410" s="98"/>
      <c r="C410" s="98"/>
      <c r="D410" s="98"/>
      <c r="E410" s="121"/>
      <c r="F410" s="98"/>
      <c r="G410" s="98"/>
      <c r="H410" s="98"/>
      <c r="I410" s="98"/>
      <c r="J410" s="98"/>
      <c r="K410" s="98"/>
      <c r="L410" s="98"/>
      <c r="M410" s="98"/>
      <c r="N410" s="98"/>
      <c r="O410" s="98"/>
      <c r="P410" s="98"/>
      <c r="Q410" s="98"/>
      <c r="R410" s="98"/>
      <c r="S410" s="98"/>
      <c r="T410" s="98"/>
      <c r="U410" s="98"/>
      <c r="V410" s="98"/>
      <c r="W410" s="98"/>
      <c r="X410" s="98"/>
      <c r="Y410" s="98"/>
      <c r="Z410" s="98"/>
      <c r="AA410" s="98"/>
      <c r="AB410" s="98"/>
      <c r="AC410" s="98"/>
    </row>
    <row r="411">
      <c r="A411" s="98"/>
      <c r="B411" s="98"/>
      <c r="C411" s="98"/>
      <c r="D411" s="98"/>
      <c r="E411" s="121"/>
      <c r="F411" s="98"/>
      <c r="G411" s="98"/>
      <c r="H411" s="98"/>
      <c r="I411" s="98"/>
      <c r="J411" s="98"/>
      <c r="K411" s="98"/>
      <c r="L411" s="98"/>
      <c r="M411" s="98"/>
      <c r="N411" s="98"/>
      <c r="O411" s="98"/>
      <c r="P411" s="98"/>
      <c r="Q411" s="98"/>
      <c r="R411" s="98"/>
      <c r="S411" s="98"/>
      <c r="T411" s="98"/>
      <c r="U411" s="98"/>
      <c r="V411" s="98"/>
      <c r="W411" s="98"/>
      <c r="X411" s="98"/>
      <c r="Y411" s="98"/>
      <c r="Z411" s="98"/>
      <c r="AA411" s="98"/>
      <c r="AB411" s="98"/>
      <c r="AC411" s="98"/>
    </row>
    <row r="412">
      <c r="A412" s="98"/>
      <c r="B412" s="98"/>
      <c r="C412" s="98"/>
      <c r="D412" s="98"/>
      <c r="E412" s="121"/>
      <c r="F412" s="98"/>
      <c r="G412" s="98"/>
      <c r="H412" s="98"/>
      <c r="I412" s="98"/>
      <c r="J412" s="98"/>
      <c r="K412" s="98"/>
      <c r="L412" s="98"/>
      <c r="M412" s="98"/>
      <c r="N412" s="98"/>
      <c r="O412" s="98"/>
      <c r="P412" s="98"/>
      <c r="Q412" s="98"/>
      <c r="R412" s="98"/>
      <c r="S412" s="98"/>
      <c r="T412" s="98"/>
      <c r="U412" s="98"/>
      <c r="V412" s="98"/>
      <c r="W412" s="98"/>
      <c r="X412" s="98"/>
      <c r="Y412" s="98"/>
      <c r="Z412" s="98"/>
      <c r="AA412" s="98"/>
      <c r="AB412" s="98"/>
      <c r="AC412" s="98"/>
    </row>
    <row r="413">
      <c r="A413" s="98"/>
      <c r="B413" s="98"/>
      <c r="C413" s="98"/>
      <c r="D413" s="98"/>
      <c r="E413" s="121"/>
      <c r="F413" s="98"/>
      <c r="G413" s="98"/>
      <c r="H413" s="98"/>
      <c r="I413" s="98"/>
      <c r="J413" s="98"/>
      <c r="K413" s="98"/>
      <c r="L413" s="98"/>
      <c r="M413" s="98"/>
      <c r="N413" s="98"/>
      <c r="O413" s="98"/>
      <c r="P413" s="98"/>
      <c r="Q413" s="98"/>
      <c r="R413" s="98"/>
      <c r="S413" s="98"/>
      <c r="T413" s="98"/>
      <c r="U413" s="98"/>
      <c r="V413" s="98"/>
      <c r="W413" s="98"/>
      <c r="X413" s="98"/>
      <c r="Y413" s="98"/>
      <c r="Z413" s="98"/>
      <c r="AA413" s="98"/>
      <c r="AB413" s="98"/>
      <c r="AC413" s="98"/>
    </row>
    <row r="414">
      <c r="A414" s="98"/>
      <c r="B414" s="98"/>
      <c r="C414" s="98"/>
      <c r="D414" s="98"/>
      <c r="E414" s="121"/>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row>
    <row r="415">
      <c r="A415" s="98"/>
      <c r="B415" s="98"/>
      <c r="C415" s="98"/>
      <c r="D415" s="98"/>
      <c r="E415" s="121"/>
      <c r="F415" s="98"/>
      <c r="G415" s="98"/>
      <c r="H415" s="98"/>
      <c r="I415" s="98"/>
      <c r="J415" s="98"/>
      <c r="K415" s="98"/>
      <c r="L415" s="98"/>
      <c r="M415" s="98"/>
      <c r="N415" s="98"/>
      <c r="O415" s="98"/>
      <c r="P415" s="98"/>
      <c r="Q415" s="98"/>
      <c r="R415" s="98"/>
      <c r="S415" s="98"/>
      <c r="T415" s="98"/>
      <c r="U415" s="98"/>
      <c r="V415" s="98"/>
      <c r="W415" s="98"/>
      <c r="X415" s="98"/>
      <c r="Y415" s="98"/>
      <c r="Z415" s="98"/>
      <c r="AA415" s="98"/>
      <c r="AB415" s="98"/>
      <c r="AC415" s="98"/>
    </row>
    <row r="416">
      <c r="A416" s="98"/>
      <c r="B416" s="98"/>
      <c r="C416" s="98"/>
      <c r="D416" s="98"/>
      <c r="E416" s="121"/>
      <c r="F416" s="98"/>
      <c r="G416" s="98"/>
      <c r="H416" s="98"/>
      <c r="I416" s="98"/>
      <c r="J416" s="98"/>
      <c r="K416" s="98"/>
      <c r="L416" s="98"/>
      <c r="M416" s="98"/>
      <c r="N416" s="98"/>
      <c r="O416" s="98"/>
      <c r="P416" s="98"/>
      <c r="Q416" s="98"/>
      <c r="R416" s="98"/>
      <c r="S416" s="98"/>
      <c r="T416" s="98"/>
      <c r="U416" s="98"/>
      <c r="V416" s="98"/>
      <c r="W416" s="98"/>
      <c r="X416" s="98"/>
      <c r="Y416" s="98"/>
      <c r="Z416" s="98"/>
      <c r="AA416" s="98"/>
      <c r="AB416" s="98"/>
      <c r="AC416" s="98"/>
    </row>
    <row r="417">
      <c r="A417" s="98"/>
      <c r="B417" s="98"/>
      <c r="C417" s="98"/>
      <c r="D417" s="98"/>
      <c r="E417" s="121"/>
      <c r="F417" s="98"/>
      <c r="G417" s="98"/>
      <c r="H417" s="98"/>
      <c r="I417" s="98"/>
      <c r="J417" s="98"/>
      <c r="K417" s="98"/>
      <c r="L417" s="98"/>
      <c r="M417" s="98"/>
      <c r="N417" s="98"/>
      <c r="O417" s="98"/>
      <c r="P417" s="98"/>
      <c r="Q417" s="98"/>
      <c r="R417" s="98"/>
      <c r="S417" s="98"/>
      <c r="T417" s="98"/>
      <c r="U417" s="98"/>
      <c r="V417" s="98"/>
      <c r="W417" s="98"/>
      <c r="X417" s="98"/>
      <c r="Y417" s="98"/>
      <c r="Z417" s="98"/>
      <c r="AA417" s="98"/>
      <c r="AB417" s="98"/>
      <c r="AC417" s="98"/>
    </row>
    <row r="418">
      <c r="A418" s="98"/>
      <c r="B418" s="98"/>
      <c r="C418" s="98"/>
      <c r="D418" s="98"/>
      <c r="E418" s="121"/>
      <c r="F418" s="98"/>
      <c r="G418" s="98"/>
      <c r="H418" s="98"/>
      <c r="I418" s="98"/>
      <c r="J418" s="98"/>
      <c r="K418" s="98"/>
      <c r="L418" s="98"/>
      <c r="M418" s="98"/>
      <c r="N418" s="98"/>
      <c r="O418" s="98"/>
      <c r="P418" s="98"/>
      <c r="Q418" s="98"/>
      <c r="R418" s="98"/>
      <c r="S418" s="98"/>
      <c r="T418" s="98"/>
      <c r="U418" s="98"/>
      <c r="V418" s="98"/>
      <c r="W418" s="98"/>
      <c r="X418" s="98"/>
      <c r="Y418" s="98"/>
      <c r="Z418" s="98"/>
      <c r="AA418" s="98"/>
      <c r="AB418" s="98"/>
      <c r="AC418" s="98"/>
    </row>
    <row r="419">
      <c r="A419" s="98"/>
      <c r="B419" s="98"/>
      <c r="C419" s="98"/>
      <c r="D419" s="98"/>
      <c r="E419" s="121"/>
      <c r="F419" s="98"/>
      <c r="G419" s="98"/>
      <c r="H419" s="98"/>
      <c r="I419" s="98"/>
      <c r="J419" s="98"/>
      <c r="K419" s="98"/>
      <c r="L419" s="98"/>
      <c r="M419" s="98"/>
      <c r="N419" s="98"/>
      <c r="O419" s="98"/>
      <c r="P419" s="98"/>
      <c r="Q419" s="98"/>
      <c r="R419" s="98"/>
      <c r="S419" s="98"/>
      <c r="T419" s="98"/>
      <c r="U419" s="98"/>
      <c r="V419" s="98"/>
      <c r="W419" s="98"/>
      <c r="X419" s="98"/>
      <c r="Y419" s="98"/>
      <c r="Z419" s="98"/>
      <c r="AA419" s="98"/>
      <c r="AB419" s="98"/>
      <c r="AC419" s="98"/>
    </row>
    <row r="420">
      <c r="A420" s="98"/>
      <c r="B420" s="98"/>
      <c r="C420" s="98"/>
      <c r="D420" s="98"/>
      <c r="E420" s="121"/>
      <c r="F420" s="98"/>
      <c r="G420" s="98"/>
      <c r="H420" s="98"/>
      <c r="I420" s="98"/>
      <c r="J420" s="98"/>
      <c r="K420" s="98"/>
      <c r="L420" s="98"/>
      <c r="M420" s="98"/>
      <c r="N420" s="98"/>
      <c r="O420" s="98"/>
      <c r="P420" s="98"/>
      <c r="Q420" s="98"/>
      <c r="R420" s="98"/>
      <c r="S420" s="98"/>
      <c r="T420" s="98"/>
      <c r="U420" s="98"/>
      <c r="V420" s="98"/>
      <c r="W420" s="98"/>
      <c r="X420" s="98"/>
      <c r="Y420" s="98"/>
      <c r="Z420" s="98"/>
      <c r="AA420" s="98"/>
      <c r="AB420" s="98"/>
      <c r="AC420" s="98"/>
    </row>
    <row r="421">
      <c r="A421" s="98"/>
      <c r="B421" s="98"/>
      <c r="C421" s="98"/>
      <c r="D421" s="98"/>
      <c r="E421" s="121"/>
      <c r="F421" s="98"/>
      <c r="G421" s="98"/>
      <c r="H421" s="98"/>
      <c r="I421" s="98"/>
      <c r="J421" s="98"/>
      <c r="K421" s="98"/>
      <c r="L421" s="98"/>
      <c r="M421" s="98"/>
      <c r="N421" s="98"/>
      <c r="O421" s="98"/>
      <c r="P421" s="98"/>
      <c r="Q421" s="98"/>
      <c r="R421" s="98"/>
      <c r="S421" s="98"/>
      <c r="T421" s="98"/>
      <c r="U421" s="98"/>
      <c r="V421" s="98"/>
      <c r="W421" s="98"/>
      <c r="X421" s="98"/>
      <c r="Y421" s="98"/>
      <c r="Z421" s="98"/>
      <c r="AA421" s="98"/>
      <c r="AB421" s="98"/>
      <c r="AC421" s="98"/>
    </row>
    <row r="422">
      <c r="A422" s="98"/>
      <c r="B422" s="98"/>
      <c r="C422" s="98"/>
      <c r="D422" s="98"/>
      <c r="E422" s="121"/>
      <c r="F422" s="98"/>
      <c r="G422" s="98"/>
      <c r="H422" s="98"/>
      <c r="I422" s="98"/>
      <c r="J422" s="98"/>
      <c r="K422" s="98"/>
      <c r="L422" s="98"/>
      <c r="M422" s="98"/>
      <c r="N422" s="98"/>
      <c r="O422" s="98"/>
      <c r="P422" s="98"/>
      <c r="Q422" s="98"/>
      <c r="R422" s="98"/>
      <c r="S422" s="98"/>
      <c r="T422" s="98"/>
      <c r="U422" s="98"/>
      <c r="V422" s="98"/>
      <c r="W422" s="98"/>
      <c r="X422" s="98"/>
      <c r="Y422" s="98"/>
      <c r="Z422" s="98"/>
      <c r="AA422" s="98"/>
      <c r="AB422" s="98"/>
      <c r="AC422" s="98"/>
    </row>
    <row r="423">
      <c r="A423" s="98"/>
      <c r="B423" s="98"/>
      <c r="C423" s="98"/>
      <c r="D423" s="98"/>
      <c r="E423" s="121"/>
      <c r="F423" s="98"/>
      <c r="G423" s="98"/>
      <c r="H423" s="98"/>
      <c r="I423" s="98"/>
      <c r="J423" s="98"/>
      <c r="K423" s="98"/>
      <c r="L423" s="98"/>
      <c r="M423" s="98"/>
      <c r="N423" s="98"/>
      <c r="O423" s="98"/>
      <c r="P423" s="98"/>
      <c r="Q423" s="98"/>
      <c r="R423" s="98"/>
      <c r="S423" s="98"/>
      <c r="T423" s="98"/>
      <c r="U423" s="98"/>
      <c r="V423" s="98"/>
      <c r="W423" s="98"/>
      <c r="X423" s="98"/>
      <c r="Y423" s="98"/>
      <c r="Z423" s="98"/>
      <c r="AA423" s="98"/>
      <c r="AB423" s="98"/>
      <c r="AC423" s="98"/>
    </row>
    <row r="424">
      <c r="A424" s="98"/>
      <c r="B424" s="98"/>
      <c r="C424" s="98"/>
      <c r="D424" s="98"/>
      <c r="E424" s="121"/>
      <c r="F424" s="98"/>
      <c r="G424" s="98"/>
      <c r="H424" s="98"/>
      <c r="I424" s="98"/>
      <c r="J424" s="98"/>
      <c r="K424" s="98"/>
      <c r="L424" s="98"/>
      <c r="M424" s="98"/>
      <c r="N424" s="98"/>
      <c r="O424" s="98"/>
      <c r="P424" s="98"/>
      <c r="Q424" s="98"/>
      <c r="R424" s="98"/>
      <c r="S424" s="98"/>
      <c r="T424" s="98"/>
      <c r="U424" s="98"/>
      <c r="V424" s="98"/>
      <c r="W424" s="98"/>
      <c r="X424" s="98"/>
      <c r="Y424" s="98"/>
      <c r="Z424" s="98"/>
      <c r="AA424" s="98"/>
      <c r="AB424" s="98"/>
      <c r="AC424" s="98"/>
    </row>
    <row r="425">
      <c r="A425" s="98"/>
      <c r="B425" s="98"/>
      <c r="C425" s="98"/>
      <c r="D425" s="98"/>
      <c r="E425" s="121"/>
      <c r="F425" s="98"/>
      <c r="G425" s="98"/>
      <c r="H425" s="98"/>
      <c r="I425" s="98"/>
      <c r="J425" s="98"/>
      <c r="K425" s="98"/>
      <c r="L425" s="98"/>
      <c r="M425" s="98"/>
      <c r="N425" s="98"/>
      <c r="O425" s="98"/>
      <c r="P425" s="98"/>
      <c r="Q425" s="98"/>
      <c r="R425" s="98"/>
      <c r="S425" s="98"/>
      <c r="T425" s="98"/>
      <c r="U425" s="98"/>
      <c r="V425" s="98"/>
      <c r="W425" s="98"/>
      <c r="X425" s="98"/>
      <c r="Y425" s="98"/>
      <c r="Z425" s="98"/>
      <c r="AA425" s="98"/>
      <c r="AB425" s="98"/>
      <c r="AC425" s="98"/>
    </row>
    <row r="426">
      <c r="A426" s="98"/>
      <c r="B426" s="98"/>
      <c r="C426" s="98"/>
      <c r="D426" s="98"/>
      <c r="E426" s="121"/>
      <c r="F426" s="98"/>
      <c r="G426" s="98"/>
      <c r="H426" s="98"/>
      <c r="I426" s="98"/>
      <c r="J426" s="98"/>
      <c r="K426" s="98"/>
      <c r="L426" s="98"/>
      <c r="M426" s="98"/>
      <c r="N426" s="98"/>
      <c r="O426" s="98"/>
      <c r="P426" s="98"/>
      <c r="Q426" s="98"/>
      <c r="R426" s="98"/>
      <c r="S426" s="98"/>
      <c r="T426" s="98"/>
      <c r="U426" s="98"/>
      <c r="V426" s="98"/>
      <c r="W426" s="98"/>
      <c r="X426" s="98"/>
      <c r="Y426" s="98"/>
      <c r="Z426" s="98"/>
      <c r="AA426" s="98"/>
      <c r="AB426" s="98"/>
      <c r="AC426" s="98"/>
    </row>
    <row r="427">
      <c r="A427" s="98"/>
      <c r="B427" s="98"/>
      <c r="C427" s="98"/>
      <c r="D427" s="98"/>
      <c r="E427" s="121"/>
      <c r="F427" s="98"/>
      <c r="G427" s="98"/>
      <c r="H427" s="98"/>
      <c r="I427" s="98"/>
      <c r="J427" s="98"/>
      <c r="K427" s="98"/>
      <c r="L427" s="98"/>
      <c r="M427" s="98"/>
      <c r="N427" s="98"/>
      <c r="O427" s="98"/>
      <c r="P427" s="98"/>
      <c r="Q427" s="98"/>
      <c r="R427" s="98"/>
      <c r="S427" s="98"/>
      <c r="T427" s="98"/>
      <c r="U427" s="98"/>
      <c r="V427" s="98"/>
      <c r="W427" s="98"/>
      <c r="X427" s="98"/>
      <c r="Y427" s="98"/>
      <c r="Z427" s="98"/>
      <c r="AA427" s="98"/>
      <c r="AB427" s="98"/>
      <c r="AC427" s="98"/>
    </row>
    <row r="428">
      <c r="A428" s="98"/>
      <c r="B428" s="98"/>
      <c r="C428" s="98"/>
      <c r="D428" s="98"/>
      <c r="E428" s="121"/>
      <c r="F428" s="98"/>
      <c r="G428" s="98"/>
      <c r="H428" s="98"/>
      <c r="I428" s="98"/>
      <c r="J428" s="98"/>
      <c r="K428" s="98"/>
      <c r="L428" s="98"/>
      <c r="M428" s="98"/>
      <c r="N428" s="98"/>
      <c r="O428" s="98"/>
      <c r="P428" s="98"/>
      <c r="Q428" s="98"/>
      <c r="R428" s="98"/>
      <c r="S428" s="98"/>
      <c r="T428" s="98"/>
      <c r="U428" s="98"/>
      <c r="V428" s="98"/>
      <c r="W428" s="98"/>
      <c r="X428" s="98"/>
      <c r="Y428" s="98"/>
      <c r="Z428" s="98"/>
      <c r="AA428" s="98"/>
      <c r="AB428" s="98"/>
      <c r="AC428" s="98"/>
    </row>
    <row r="429">
      <c r="A429" s="98"/>
      <c r="B429" s="98"/>
      <c r="C429" s="98"/>
      <c r="D429" s="98"/>
      <c r="E429" s="121"/>
      <c r="F429" s="98"/>
      <c r="G429" s="98"/>
      <c r="H429" s="98"/>
      <c r="I429" s="98"/>
      <c r="J429" s="98"/>
      <c r="K429" s="98"/>
      <c r="L429" s="98"/>
      <c r="M429" s="98"/>
      <c r="N429" s="98"/>
      <c r="O429" s="98"/>
      <c r="P429" s="98"/>
      <c r="Q429" s="98"/>
      <c r="R429" s="98"/>
      <c r="S429" s="98"/>
      <c r="T429" s="98"/>
      <c r="U429" s="98"/>
      <c r="V429" s="98"/>
      <c r="W429" s="98"/>
      <c r="X429" s="98"/>
      <c r="Y429" s="98"/>
      <c r="Z429" s="98"/>
      <c r="AA429" s="98"/>
      <c r="AB429" s="98"/>
      <c r="AC429" s="98"/>
    </row>
    <row r="430">
      <c r="A430" s="98"/>
      <c r="B430" s="98"/>
      <c r="C430" s="98"/>
      <c r="D430" s="98"/>
      <c r="E430" s="121"/>
      <c r="F430" s="98"/>
      <c r="G430" s="98"/>
      <c r="H430" s="98"/>
      <c r="I430" s="98"/>
      <c r="J430" s="98"/>
      <c r="K430" s="98"/>
      <c r="L430" s="98"/>
      <c r="M430" s="98"/>
      <c r="N430" s="98"/>
      <c r="O430" s="98"/>
      <c r="P430" s="98"/>
      <c r="Q430" s="98"/>
      <c r="R430" s="98"/>
      <c r="S430" s="98"/>
      <c r="T430" s="98"/>
      <c r="U430" s="98"/>
      <c r="V430" s="98"/>
      <c r="W430" s="98"/>
      <c r="X430" s="98"/>
      <c r="Y430" s="98"/>
      <c r="Z430" s="98"/>
      <c r="AA430" s="98"/>
      <c r="AB430" s="98"/>
      <c r="AC430" s="98"/>
    </row>
    <row r="431">
      <c r="A431" s="98"/>
      <c r="B431" s="98"/>
      <c r="C431" s="98"/>
      <c r="D431" s="98"/>
      <c r="E431" s="121"/>
      <c r="F431" s="98"/>
      <c r="G431" s="98"/>
      <c r="H431" s="98"/>
      <c r="I431" s="98"/>
      <c r="J431" s="98"/>
      <c r="K431" s="98"/>
      <c r="L431" s="98"/>
      <c r="M431" s="98"/>
      <c r="N431" s="98"/>
      <c r="O431" s="98"/>
      <c r="P431" s="98"/>
      <c r="Q431" s="98"/>
      <c r="R431" s="98"/>
      <c r="S431" s="98"/>
      <c r="T431" s="98"/>
      <c r="U431" s="98"/>
      <c r="V431" s="98"/>
      <c r="W431" s="98"/>
      <c r="X431" s="98"/>
      <c r="Y431" s="98"/>
      <c r="Z431" s="98"/>
      <c r="AA431" s="98"/>
      <c r="AB431" s="98"/>
      <c r="AC431" s="98"/>
    </row>
    <row r="432">
      <c r="A432" s="98"/>
      <c r="B432" s="98"/>
      <c r="C432" s="98"/>
      <c r="D432" s="98"/>
      <c r="E432" s="121"/>
      <c r="F432" s="98"/>
      <c r="G432" s="98"/>
      <c r="H432" s="98"/>
      <c r="I432" s="98"/>
      <c r="J432" s="98"/>
      <c r="K432" s="98"/>
      <c r="L432" s="98"/>
      <c r="M432" s="98"/>
      <c r="N432" s="98"/>
      <c r="O432" s="98"/>
      <c r="P432" s="98"/>
      <c r="Q432" s="98"/>
      <c r="R432" s="98"/>
      <c r="S432" s="98"/>
      <c r="T432" s="98"/>
      <c r="U432" s="98"/>
      <c r="V432" s="98"/>
      <c r="W432" s="98"/>
      <c r="X432" s="98"/>
      <c r="Y432" s="98"/>
      <c r="Z432" s="98"/>
      <c r="AA432" s="98"/>
      <c r="AB432" s="98"/>
      <c r="AC432" s="98"/>
    </row>
    <row r="433">
      <c r="A433" s="98"/>
      <c r="B433" s="98"/>
      <c r="C433" s="98"/>
      <c r="D433" s="98"/>
      <c r="E433" s="121"/>
      <c r="F433" s="98"/>
      <c r="G433" s="98"/>
      <c r="H433" s="98"/>
      <c r="I433" s="98"/>
      <c r="J433" s="98"/>
      <c r="K433" s="98"/>
      <c r="L433" s="98"/>
      <c r="M433" s="98"/>
      <c r="N433" s="98"/>
      <c r="O433" s="98"/>
      <c r="P433" s="98"/>
      <c r="Q433" s="98"/>
      <c r="R433" s="98"/>
      <c r="S433" s="98"/>
      <c r="T433" s="98"/>
      <c r="U433" s="98"/>
      <c r="V433" s="98"/>
      <c r="W433" s="98"/>
      <c r="X433" s="98"/>
      <c r="Y433" s="98"/>
      <c r="Z433" s="98"/>
      <c r="AA433" s="98"/>
      <c r="AB433" s="98"/>
      <c r="AC433" s="98"/>
    </row>
    <row r="434">
      <c r="A434" s="98"/>
      <c r="B434" s="98"/>
      <c r="C434" s="98"/>
      <c r="D434" s="98"/>
      <c r="E434" s="121"/>
      <c r="F434" s="98"/>
      <c r="G434" s="98"/>
      <c r="H434" s="98"/>
      <c r="I434" s="98"/>
      <c r="J434" s="98"/>
      <c r="K434" s="98"/>
      <c r="L434" s="98"/>
      <c r="M434" s="98"/>
      <c r="N434" s="98"/>
      <c r="O434" s="98"/>
      <c r="P434" s="98"/>
      <c r="Q434" s="98"/>
      <c r="R434" s="98"/>
      <c r="S434" s="98"/>
      <c r="T434" s="98"/>
      <c r="U434" s="98"/>
      <c r="V434" s="98"/>
      <c r="W434" s="98"/>
      <c r="X434" s="98"/>
      <c r="Y434" s="98"/>
      <c r="Z434" s="98"/>
      <c r="AA434" s="98"/>
      <c r="AB434" s="98"/>
      <c r="AC434" s="98"/>
    </row>
    <row r="435">
      <c r="A435" s="98"/>
      <c r="B435" s="98"/>
      <c r="C435" s="98"/>
      <c r="D435" s="98"/>
      <c r="E435" s="121"/>
      <c r="F435" s="98"/>
      <c r="G435" s="98"/>
      <c r="H435" s="98"/>
      <c r="I435" s="98"/>
      <c r="J435" s="98"/>
      <c r="K435" s="98"/>
      <c r="L435" s="98"/>
      <c r="M435" s="98"/>
      <c r="N435" s="98"/>
      <c r="O435" s="98"/>
      <c r="P435" s="98"/>
      <c r="Q435" s="98"/>
      <c r="R435" s="98"/>
      <c r="S435" s="98"/>
      <c r="T435" s="98"/>
      <c r="U435" s="98"/>
      <c r="V435" s="98"/>
      <c r="W435" s="98"/>
      <c r="X435" s="98"/>
      <c r="Y435" s="98"/>
      <c r="Z435" s="98"/>
      <c r="AA435" s="98"/>
      <c r="AB435" s="98"/>
      <c r="AC435" s="98"/>
    </row>
    <row r="436">
      <c r="A436" s="98"/>
      <c r="B436" s="98"/>
      <c r="C436" s="98"/>
      <c r="D436" s="98"/>
      <c r="E436" s="121"/>
      <c r="F436" s="98"/>
      <c r="G436" s="98"/>
      <c r="H436" s="98"/>
      <c r="I436" s="98"/>
      <c r="J436" s="98"/>
      <c r="K436" s="98"/>
      <c r="L436" s="98"/>
      <c r="M436" s="98"/>
      <c r="N436" s="98"/>
      <c r="O436" s="98"/>
      <c r="P436" s="98"/>
      <c r="Q436" s="98"/>
      <c r="R436" s="98"/>
      <c r="S436" s="98"/>
      <c r="T436" s="98"/>
      <c r="U436" s="98"/>
      <c r="V436" s="98"/>
      <c r="W436" s="98"/>
      <c r="X436" s="98"/>
      <c r="Y436" s="98"/>
      <c r="Z436" s="98"/>
      <c r="AA436" s="98"/>
      <c r="AB436" s="98"/>
      <c r="AC436" s="98"/>
    </row>
    <row r="437">
      <c r="A437" s="98"/>
      <c r="B437" s="98"/>
      <c r="C437" s="98"/>
      <c r="D437" s="98"/>
      <c r="E437" s="121"/>
      <c r="F437" s="98"/>
      <c r="G437" s="98"/>
      <c r="H437" s="98"/>
      <c r="I437" s="98"/>
      <c r="J437" s="98"/>
      <c r="K437" s="98"/>
      <c r="L437" s="98"/>
      <c r="M437" s="98"/>
      <c r="N437" s="98"/>
      <c r="O437" s="98"/>
      <c r="P437" s="98"/>
      <c r="Q437" s="98"/>
      <c r="R437" s="98"/>
      <c r="S437" s="98"/>
      <c r="T437" s="98"/>
      <c r="U437" s="98"/>
      <c r="V437" s="98"/>
      <c r="W437" s="98"/>
      <c r="X437" s="98"/>
      <c r="Y437" s="98"/>
      <c r="Z437" s="98"/>
      <c r="AA437" s="98"/>
      <c r="AB437" s="98"/>
      <c r="AC437" s="98"/>
    </row>
    <row r="438">
      <c r="A438" s="98"/>
      <c r="B438" s="98"/>
      <c r="C438" s="98"/>
      <c r="D438" s="98"/>
      <c r="E438" s="121"/>
      <c r="F438" s="98"/>
      <c r="G438" s="98"/>
      <c r="H438" s="98"/>
      <c r="I438" s="98"/>
      <c r="J438" s="98"/>
      <c r="K438" s="98"/>
      <c r="L438" s="98"/>
      <c r="M438" s="98"/>
      <c r="N438" s="98"/>
      <c r="O438" s="98"/>
      <c r="P438" s="98"/>
      <c r="Q438" s="98"/>
      <c r="R438" s="98"/>
      <c r="S438" s="98"/>
      <c r="T438" s="98"/>
      <c r="U438" s="98"/>
      <c r="V438" s="98"/>
      <c r="W438" s="98"/>
      <c r="X438" s="98"/>
      <c r="Y438" s="98"/>
      <c r="Z438" s="98"/>
      <c r="AA438" s="98"/>
      <c r="AB438" s="98"/>
      <c r="AC438" s="98"/>
    </row>
    <row r="439">
      <c r="A439" s="98"/>
      <c r="B439" s="98"/>
      <c r="C439" s="98"/>
      <c r="D439" s="98"/>
      <c r="E439" s="121"/>
      <c r="F439" s="98"/>
      <c r="G439" s="98"/>
      <c r="H439" s="98"/>
      <c r="I439" s="98"/>
      <c r="J439" s="98"/>
      <c r="K439" s="98"/>
      <c r="L439" s="98"/>
      <c r="M439" s="98"/>
      <c r="N439" s="98"/>
      <c r="O439" s="98"/>
      <c r="P439" s="98"/>
      <c r="Q439" s="98"/>
      <c r="R439" s="98"/>
      <c r="S439" s="98"/>
      <c r="T439" s="98"/>
      <c r="U439" s="98"/>
      <c r="V439" s="98"/>
      <c r="W439" s="98"/>
      <c r="X439" s="98"/>
      <c r="Y439" s="98"/>
      <c r="Z439" s="98"/>
      <c r="AA439" s="98"/>
      <c r="AB439" s="98"/>
      <c r="AC439" s="98"/>
    </row>
    <row r="440">
      <c r="A440" s="98"/>
      <c r="B440" s="98"/>
      <c r="C440" s="98"/>
      <c r="D440" s="98"/>
      <c r="E440" s="121"/>
      <c r="F440" s="98"/>
      <c r="G440" s="98"/>
      <c r="H440" s="98"/>
      <c r="I440" s="98"/>
      <c r="J440" s="98"/>
      <c r="K440" s="98"/>
      <c r="L440" s="98"/>
      <c r="M440" s="98"/>
      <c r="N440" s="98"/>
      <c r="O440" s="98"/>
      <c r="P440" s="98"/>
      <c r="Q440" s="98"/>
      <c r="R440" s="98"/>
      <c r="S440" s="98"/>
      <c r="T440" s="98"/>
      <c r="U440" s="98"/>
      <c r="V440" s="98"/>
      <c r="W440" s="98"/>
      <c r="X440" s="98"/>
      <c r="Y440" s="98"/>
      <c r="Z440" s="98"/>
      <c r="AA440" s="98"/>
      <c r="AB440" s="98"/>
      <c r="AC440" s="98"/>
    </row>
    <row r="441">
      <c r="A441" s="98"/>
      <c r="B441" s="98"/>
      <c r="C441" s="98"/>
      <c r="D441" s="98"/>
      <c r="E441" s="121"/>
      <c r="F441" s="98"/>
      <c r="G441" s="98"/>
      <c r="H441" s="98"/>
      <c r="I441" s="98"/>
      <c r="J441" s="98"/>
      <c r="K441" s="98"/>
      <c r="L441" s="98"/>
      <c r="M441" s="98"/>
      <c r="N441" s="98"/>
      <c r="O441" s="98"/>
      <c r="P441" s="98"/>
      <c r="Q441" s="98"/>
      <c r="R441" s="98"/>
      <c r="S441" s="98"/>
      <c r="T441" s="98"/>
      <c r="U441" s="98"/>
      <c r="V441" s="98"/>
      <c r="W441" s="98"/>
      <c r="X441" s="98"/>
      <c r="Y441" s="98"/>
      <c r="Z441" s="98"/>
      <c r="AA441" s="98"/>
      <c r="AB441" s="98"/>
      <c r="AC441" s="98"/>
    </row>
    <row r="442">
      <c r="A442" s="98"/>
      <c r="B442" s="98"/>
      <c r="C442" s="98"/>
      <c r="D442" s="98"/>
      <c r="E442" s="121"/>
      <c r="F442" s="98"/>
      <c r="G442" s="98"/>
      <c r="H442" s="98"/>
      <c r="I442" s="98"/>
      <c r="J442" s="98"/>
      <c r="K442" s="98"/>
      <c r="L442" s="98"/>
      <c r="M442" s="98"/>
      <c r="N442" s="98"/>
      <c r="O442" s="98"/>
      <c r="P442" s="98"/>
      <c r="Q442" s="98"/>
      <c r="R442" s="98"/>
      <c r="S442" s="98"/>
      <c r="T442" s="98"/>
      <c r="U442" s="98"/>
      <c r="V442" s="98"/>
      <c r="W442" s="98"/>
      <c r="X442" s="98"/>
      <c r="Y442" s="98"/>
      <c r="Z442" s="98"/>
      <c r="AA442" s="98"/>
      <c r="AB442" s="98"/>
      <c r="AC442" s="98"/>
    </row>
    <row r="443">
      <c r="A443" s="98"/>
      <c r="B443" s="98"/>
      <c r="C443" s="98"/>
      <c r="D443" s="98"/>
      <c r="E443" s="121"/>
      <c r="F443" s="98"/>
      <c r="G443" s="98"/>
      <c r="H443" s="98"/>
      <c r="I443" s="98"/>
      <c r="J443" s="98"/>
      <c r="K443" s="98"/>
      <c r="L443" s="98"/>
      <c r="M443" s="98"/>
      <c r="N443" s="98"/>
      <c r="O443" s="98"/>
      <c r="P443" s="98"/>
      <c r="Q443" s="98"/>
      <c r="R443" s="98"/>
      <c r="S443" s="98"/>
      <c r="T443" s="98"/>
      <c r="U443" s="98"/>
      <c r="V443" s="98"/>
      <c r="W443" s="98"/>
      <c r="X443" s="98"/>
      <c r="Y443" s="98"/>
      <c r="Z443" s="98"/>
      <c r="AA443" s="98"/>
      <c r="AB443" s="98"/>
      <c r="AC443" s="98"/>
    </row>
    <row r="444">
      <c r="A444" s="98"/>
      <c r="B444" s="98"/>
      <c r="C444" s="98"/>
      <c r="D444" s="98"/>
      <c r="E444" s="121"/>
      <c r="F444" s="98"/>
      <c r="G444" s="98"/>
      <c r="H444" s="98"/>
      <c r="I444" s="98"/>
      <c r="J444" s="98"/>
      <c r="K444" s="98"/>
      <c r="L444" s="98"/>
      <c r="M444" s="98"/>
      <c r="N444" s="98"/>
      <c r="O444" s="98"/>
      <c r="P444" s="98"/>
      <c r="Q444" s="98"/>
      <c r="R444" s="98"/>
      <c r="S444" s="98"/>
      <c r="T444" s="98"/>
      <c r="U444" s="98"/>
      <c r="V444" s="98"/>
      <c r="W444" s="98"/>
      <c r="X444" s="98"/>
      <c r="Y444" s="98"/>
      <c r="Z444" s="98"/>
      <c r="AA444" s="98"/>
      <c r="AB444" s="98"/>
      <c r="AC444" s="98"/>
    </row>
    <row r="445">
      <c r="A445" s="98"/>
      <c r="B445" s="98"/>
      <c r="C445" s="98"/>
      <c r="D445" s="98"/>
      <c r="E445" s="121"/>
      <c r="F445" s="98"/>
      <c r="G445" s="98"/>
      <c r="H445" s="98"/>
      <c r="I445" s="98"/>
      <c r="J445" s="98"/>
      <c r="K445" s="98"/>
      <c r="L445" s="98"/>
      <c r="M445" s="98"/>
      <c r="N445" s="98"/>
      <c r="O445" s="98"/>
      <c r="P445" s="98"/>
      <c r="Q445" s="98"/>
      <c r="R445" s="98"/>
      <c r="S445" s="98"/>
      <c r="T445" s="98"/>
      <c r="U445" s="98"/>
      <c r="V445" s="98"/>
      <c r="W445" s="98"/>
      <c r="X445" s="98"/>
      <c r="Y445" s="98"/>
      <c r="Z445" s="98"/>
      <c r="AA445" s="98"/>
      <c r="AB445" s="98"/>
      <c r="AC445" s="98"/>
    </row>
    <row r="446">
      <c r="A446" s="98"/>
      <c r="B446" s="98"/>
      <c r="C446" s="98"/>
      <c r="D446" s="98"/>
      <c r="E446" s="121"/>
      <c r="F446" s="98"/>
      <c r="G446" s="98"/>
      <c r="H446" s="98"/>
      <c r="I446" s="98"/>
      <c r="J446" s="98"/>
      <c r="K446" s="98"/>
      <c r="L446" s="98"/>
      <c r="M446" s="98"/>
      <c r="N446" s="98"/>
      <c r="O446" s="98"/>
      <c r="P446" s="98"/>
      <c r="Q446" s="98"/>
      <c r="R446" s="98"/>
      <c r="S446" s="98"/>
      <c r="T446" s="98"/>
      <c r="U446" s="98"/>
      <c r="V446" s="98"/>
      <c r="W446" s="98"/>
      <c r="X446" s="98"/>
      <c r="Y446" s="98"/>
      <c r="Z446" s="98"/>
      <c r="AA446" s="98"/>
      <c r="AB446" s="98"/>
      <c r="AC446" s="98"/>
    </row>
    <row r="447">
      <c r="A447" s="98"/>
      <c r="B447" s="98"/>
      <c r="C447" s="98"/>
      <c r="D447" s="98"/>
      <c r="E447" s="121"/>
      <c r="F447" s="98"/>
      <c r="G447" s="98"/>
      <c r="H447" s="98"/>
      <c r="I447" s="98"/>
      <c r="J447" s="98"/>
      <c r="K447" s="98"/>
      <c r="L447" s="98"/>
      <c r="M447" s="98"/>
      <c r="N447" s="98"/>
      <c r="O447" s="98"/>
      <c r="P447" s="98"/>
      <c r="Q447" s="98"/>
      <c r="R447" s="98"/>
      <c r="S447" s="98"/>
      <c r="T447" s="98"/>
      <c r="U447" s="98"/>
      <c r="V447" s="98"/>
      <c r="W447" s="98"/>
      <c r="X447" s="98"/>
      <c r="Y447" s="98"/>
      <c r="Z447" s="98"/>
      <c r="AA447" s="98"/>
      <c r="AB447" s="98"/>
      <c r="AC447" s="98"/>
    </row>
    <row r="448">
      <c r="A448" s="98"/>
      <c r="B448" s="98"/>
      <c r="C448" s="98"/>
      <c r="D448" s="98"/>
      <c r="E448" s="121"/>
      <c r="F448" s="98"/>
      <c r="G448" s="98"/>
      <c r="H448" s="98"/>
      <c r="I448" s="98"/>
      <c r="J448" s="98"/>
      <c r="K448" s="98"/>
      <c r="L448" s="98"/>
      <c r="M448" s="98"/>
      <c r="N448" s="98"/>
      <c r="O448" s="98"/>
      <c r="P448" s="98"/>
      <c r="Q448" s="98"/>
      <c r="R448" s="98"/>
      <c r="S448" s="98"/>
      <c r="T448" s="98"/>
      <c r="U448" s="98"/>
      <c r="V448" s="98"/>
      <c r="W448" s="98"/>
      <c r="X448" s="98"/>
      <c r="Y448" s="98"/>
      <c r="Z448" s="98"/>
      <c r="AA448" s="98"/>
      <c r="AB448" s="98"/>
      <c r="AC448" s="98"/>
    </row>
    <row r="449">
      <c r="A449" s="98"/>
      <c r="B449" s="98"/>
      <c r="C449" s="98"/>
      <c r="D449" s="98"/>
      <c r="E449" s="121"/>
      <c r="F449" s="98"/>
      <c r="G449" s="98"/>
      <c r="H449" s="98"/>
      <c r="I449" s="98"/>
      <c r="J449" s="98"/>
      <c r="K449" s="98"/>
      <c r="L449" s="98"/>
      <c r="M449" s="98"/>
      <c r="N449" s="98"/>
      <c r="O449" s="98"/>
      <c r="P449" s="98"/>
      <c r="Q449" s="98"/>
      <c r="R449" s="98"/>
      <c r="S449" s="98"/>
      <c r="T449" s="98"/>
      <c r="U449" s="98"/>
      <c r="V449" s="98"/>
      <c r="W449" s="98"/>
      <c r="X449" s="98"/>
      <c r="Y449" s="98"/>
      <c r="Z449" s="98"/>
      <c r="AA449" s="98"/>
      <c r="AB449" s="98"/>
      <c r="AC449" s="98"/>
    </row>
    <row r="450">
      <c r="A450" s="98"/>
      <c r="B450" s="98"/>
      <c r="C450" s="98"/>
      <c r="D450" s="98"/>
      <c r="E450" s="121"/>
      <c r="F450" s="98"/>
      <c r="G450" s="98"/>
      <c r="H450" s="98"/>
      <c r="I450" s="98"/>
      <c r="J450" s="98"/>
      <c r="K450" s="98"/>
      <c r="L450" s="98"/>
      <c r="M450" s="98"/>
      <c r="N450" s="98"/>
      <c r="O450" s="98"/>
      <c r="P450" s="98"/>
      <c r="Q450" s="98"/>
      <c r="R450" s="98"/>
      <c r="S450" s="98"/>
      <c r="T450" s="98"/>
      <c r="U450" s="98"/>
      <c r="V450" s="98"/>
      <c r="W450" s="98"/>
      <c r="X450" s="98"/>
      <c r="Y450" s="98"/>
      <c r="Z450" s="98"/>
      <c r="AA450" s="98"/>
      <c r="AB450" s="98"/>
      <c r="AC450" s="98"/>
    </row>
    <row r="451">
      <c r="A451" s="98"/>
      <c r="B451" s="98"/>
      <c r="C451" s="98"/>
      <c r="D451" s="98"/>
      <c r="E451" s="121"/>
      <c r="F451" s="98"/>
      <c r="G451" s="98"/>
      <c r="H451" s="98"/>
      <c r="I451" s="98"/>
      <c r="J451" s="98"/>
      <c r="K451" s="98"/>
      <c r="L451" s="98"/>
      <c r="M451" s="98"/>
      <c r="N451" s="98"/>
      <c r="O451" s="98"/>
      <c r="P451" s="98"/>
      <c r="Q451" s="98"/>
      <c r="R451" s="98"/>
      <c r="S451" s="98"/>
      <c r="T451" s="98"/>
      <c r="U451" s="98"/>
      <c r="V451" s="98"/>
      <c r="W451" s="98"/>
      <c r="X451" s="98"/>
      <c r="Y451" s="98"/>
      <c r="Z451" s="98"/>
      <c r="AA451" s="98"/>
      <c r="AB451" s="98"/>
      <c r="AC451" s="98"/>
    </row>
    <row r="452">
      <c r="A452" s="98"/>
      <c r="B452" s="98"/>
      <c r="C452" s="98"/>
      <c r="D452" s="98"/>
      <c r="E452" s="121"/>
      <c r="F452" s="98"/>
      <c r="G452" s="98"/>
      <c r="H452" s="98"/>
      <c r="I452" s="98"/>
      <c r="J452" s="98"/>
      <c r="K452" s="98"/>
      <c r="L452" s="98"/>
      <c r="M452" s="98"/>
      <c r="N452" s="98"/>
      <c r="O452" s="98"/>
      <c r="P452" s="98"/>
      <c r="Q452" s="98"/>
      <c r="R452" s="98"/>
      <c r="S452" s="98"/>
      <c r="T452" s="98"/>
      <c r="U452" s="98"/>
      <c r="V452" s="98"/>
      <c r="W452" s="98"/>
      <c r="X452" s="98"/>
      <c r="Y452" s="98"/>
      <c r="Z452" s="98"/>
      <c r="AA452" s="98"/>
      <c r="AB452" s="98"/>
      <c r="AC452" s="98"/>
    </row>
    <row r="453">
      <c r="A453" s="98"/>
      <c r="B453" s="98"/>
      <c r="C453" s="98"/>
      <c r="D453" s="98"/>
      <c r="E453" s="121"/>
      <c r="F453" s="98"/>
      <c r="G453" s="98"/>
      <c r="H453" s="98"/>
      <c r="I453" s="98"/>
      <c r="J453" s="98"/>
      <c r="K453" s="98"/>
      <c r="L453" s="98"/>
      <c r="M453" s="98"/>
      <c r="N453" s="98"/>
      <c r="O453" s="98"/>
      <c r="P453" s="98"/>
      <c r="Q453" s="98"/>
      <c r="R453" s="98"/>
      <c r="S453" s="98"/>
      <c r="T453" s="98"/>
      <c r="U453" s="98"/>
      <c r="V453" s="98"/>
      <c r="W453" s="98"/>
      <c r="X453" s="98"/>
      <c r="Y453" s="98"/>
      <c r="Z453" s="98"/>
      <c r="AA453" s="98"/>
      <c r="AB453" s="98"/>
      <c r="AC453" s="98"/>
    </row>
    <row r="454">
      <c r="A454" s="98"/>
      <c r="B454" s="98"/>
      <c r="C454" s="98"/>
      <c r="D454" s="98"/>
      <c r="E454" s="121"/>
      <c r="F454" s="98"/>
      <c r="G454" s="98"/>
      <c r="H454" s="98"/>
      <c r="I454" s="98"/>
      <c r="J454" s="98"/>
      <c r="K454" s="98"/>
      <c r="L454" s="98"/>
      <c r="M454" s="98"/>
      <c r="N454" s="98"/>
      <c r="O454" s="98"/>
      <c r="P454" s="98"/>
      <c r="Q454" s="98"/>
      <c r="R454" s="98"/>
      <c r="S454" s="98"/>
      <c r="T454" s="98"/>
      <c r="U454" s="98"/>
      <c r="V454" s="98"/>
      <c r="W454" s="98"/>
      <c r="X454" s="98"/>
      <c r="Y454" s="98"/>
      <c r="Z454" s="98"/>
      <c r="AA454" s="98"/>
      <c r="AB454" s="98"/>
      <c r="AC454" s="98"/>
    </row>
    <row r="455">
      <c r="A455" s="98"/>
      <c r="B455" s="98"/>
      <c r="C455" s="98"/>
      <c r="D455" s="98"/>
      <c r="E455" s="121"/>
      <c r="F455" s="98"/>
      <c r="G455" s="98"/>
      <c r="H455" s="98"/>
      <c r="I455" s="98"/>
      <c r="J455" s="98"/>
      <c r="K455" s="98"/>
      <c r="L455" s="98"/>
      <c r="M455" s="98"/>
      <c r="N455" s="98"/>
      <c r="O455" s="98"/>
      <c r="P455" s="98"/>
      <c r="Q455" s="98"/>
      <c r="R455" s="98"/>
      <c r="S455" s="98"/>
      <c r="T455" s="98"/>
      <c r="U455" s="98"/>
      <c r="V455" s="98"/>
      <c r="W455" s="98"/>
      <c r="X455" s="98"/>
      <c r="Y455" s="98"/>
      <c r="Z455" s="98"/>
      <c r="AA455" s="98"/>
      <c r="AB455" s="98"/>
      <c r="AC455" s="98"/>
    </row>
    <row r="456">
      <c r="A456" s="98"/>
      <c r="B456" s="98"/>
      <c r="C456" s="98"/>
      <c r="D456" s="98"/>
      <c r="E456" s="121"/>
      <c r="F456" s="98"/>
      <c r="G456" s="98"/>
      <c r="H456" s="98"/>
      <c r="I456" s="98"/>
      <c r="J456" s="98"/>
      <c r="K456" s="98"/>
      <c r="L456" s="98"/>
      <c r="M456" s="98"/>
      <c r="N456" s="98"/>
      <c r="O456" s="98"/>
      <c r="P456" s="98"/>
      <c r="Q456" s="98"/>
      <c r="R456" s="98"/>
      <c r="S456" s="98"/>
      <c r="T456" s="98"/>
      <c r="U456" s="98"/>
      <c r="V456" s="98"/>
      <c r="W456" s="98"/>
      <c r="X456" s="98"/>
      <c r="Y456" s="98"/>
      <c r="Z456" s="98"/>
      <c r="AA456" s="98"/>
      <c r="AB456" s="98"/>
      <c r="AC456" s="98"/>
    </row>
    <row r="457">
      <c r="A457" s="98"/>
      <c r="B457" s="98"/>
      <c r="C457" s="98"/>
      <c r="D457" s="98"/>
      <c r="E457" s="121"/>
      <c r="F457" s="98"/>
      <c r="G457" s="98"/>
      <c r="H457" s="98"/>
      <c r="I457" s="98"/>
      <c r="J457" s="98"/>
      <c r="K457" s="98"/>
      <c r="L457" s="98"/>
      <c r="M457" s="98"/>
      <c r="N457" s="98"/>
      <c r="O457" s="98"/>
      <c r="P457" s="98"/>
      <c r="Q457" s="98"/>
      <c r="R457" s="98"/>
      <c r="S457" s="98"/>
      <c r="T457" s="98"/>
      <c r="U457" s="98"/>
      <c r="V457" s="98"/>
      <c r="W457" s="98"/>
      <c r="X457" s="98"/>
      <c r="Y457" s="98"/>
      <c r="Z457" s="98"/>
      <c r="AA457" s="98"/>
      <c r="AB457" s="98"/>
      <c r="AC457" s="98"/>
    </row>
    <row r="458">
      <c r="A458" s="98"/>
      <c r="B458" s="98"/>
      <c r="C458" s="98"/>
      <c r="D458" s="98"/>
      <c r="E458" s="121"/>
      <c r="F458" s="98"/>
      <c r="G458" s="98"/>
      <c r="H458" s="98"/>
      <c r="I458" s="98"/>
      <c r="J458" s="98"/>
      <c r="K458" s="98"/>
      <c r="L458" s="98"/>
      <c r="M458" s="98"/>
      <c r="N458" s="98"/>
      <c r="O458" s="98"/>
      <c r="P458" s="98"/>
      <c r="Q458" s="98"/>
      <c r="R458" s="98"/>
      <c r="S458" s="98"/>
      <c r="T458" s="98"/>
      <c r="U458" s="98"/>
      <c r="V458" s="98"/>
      <c r="W458" s="98"/>
      <c r="X458" s="98"/>
      <c r="Y458" s="98"/>
      <c r="Z458" s="98"/>
      <c r="AA458" s="98"/>
      <c r="AB458" s="98"/>
      <c r="AC458" s="98"/>
    </row>
    <row r="459">
      <c r="A459" s="98"/>
      <c r="B459" s="98"/>
      <c r="C459" s="98"/>
      <c r="D459" s="98"/>
      <c r="E459" s="121"/>
      <c r="F459" s="98"/>
      <c r="G459" s="98"/>
      <c r="H459" s="98"/>
      <c r="I459" s="98"/>
      <c r="J459" s="98"/>
      <c r="K459" s="98"/>
      <c r="L459" s="98"/>
      <c r="M459" s="98"/>
      <c r="N459" s="98"/>
      <c r="O459" s="98"/>
      <c r="P459" s="98"/>
      <c r="Q459" s="98"/>
      <c r="R459" s="98"/>
      <c r="S459" s="98"/>
      <c r="T459" s="98"/>
      <c r="U459" s="98"/>
      <c r="V459" s="98"/>
      <c r="W459" s="98"/>
      <c r="X459" s="98"/>
      <c r="Y459" s="98"/>
      <c r="Z459" s="98"/>
      <c r="AA459" s="98"/>
      <c r="AB459" s="98"/>
      <c r="AC459" s="98"/>
    </row>
    <row r="460">
      <c r="A460" s="98"/>
      <c r="B460" s="98"/>
      <c r="C460" s="98"/>
      <c r="D460" s="98"/>
      <c r="E460" s="121"/>
      <c r="F460" s="98"/>
      <c r="G460" s="98"/>
      <c r="H460" s="98"/>
      <c r="I460" s="98"/>
      <c r="J460" s="98"/>
      <c r="K460" s="98"/>
      <c r="L460" s="98"/>
      <c r="M460" s="98"/>
      <c r="N460" s="98"/>
      <c r="O460" s="98"/>
      <c r="P460" s="98"/>
      <c r="Q460" s="98"/>
      <c r="R460" s="98"/>
      <c r="S460" s="98"/>
      <c r="T460" s="98"/>
      <c r="U460" s="98"/>
      <c r="V460" s="98"/>
      <c r="W460" s="98"/>
      <c r="X460" s="98"/>
      <c r="Y460" s="98"/>
      <c r="Z460" s="98"/>
      <c r="AA460" s="98"/>
      <c r="AB460" s="98"/>
      <c r="AC460" s="98"/>
    </row>
    <row r="461">
      <c r="A461" s="98"/>
      <c r="B461" s="98"/>
      <c r="C461" s="98"/>
      <c r="D461" s="98"/>
      <c r="E461" s="121"/>
      <c r="F461" s="98"/>
      <c r="G461" s="98"/>
      <c r="H461" s="98"/>
      <c r="I461" s="98"/>
      <c r="J461" s="98"/>
      <c r="K461" s="98"/>
      <c r="L461" s="98"/>
      <c r="M461" s="98"/>
      <c r="N461" s="98"/>
      <c r="O461" s="98"/>
      <c r="P461" s="98"/>
      <c r="Q461" s="98"/>
      <c r="R461" s="98"/>
      <c r="S461" s="98"/>
      <c r="T461" s="98"/>
      <c r="U461" s="98"/>
      <c r="V461" s="98"/>
      <c r="W461" s="98"/>
      <c r="X461" s="98"/>
      <c r="Y461" s="98"/>
      <c r="Z461" s="98"/>
      <c r="AA461" s="98"/>
      <c r="AB461" s="98"/>
      <c r="AC461" s="98"/>
    </row>
    <row r="462">
      <c r="A462" s="98"/>
      <c r="B462" s="98"/>
      <c r="C462" s="98"/>
      <c r="D462" s="98"/>
      <c r="E462" s="121"/>
      <c r="F462" s="98"/>
      <c r="G462" s="98"/>
      <c r="H462" s="98"/>
      <c r="I462" s="98"/>
      <c r="J462" s="98"/>
      <c r="K462" s="98"/>
      <c r="L462" s="98"/>
      <c r="M462" s="98"/>
      <c r="N462" s="98"/>
      <c r="O462" s="98"/>
      <c r="P462" s="98"/>
      <c r="Q462" s="98"/>
      <c r="R462" s="98"/>
      <c r="S462" s="98"/>
      <c r="T462" s="98"/>
      <c r="U462" s="98"/>
      <c r="V462" s="98"/>
      <c r="W462" s="98"/>
      <c r="X462" s="98"/>
      <c r="Y462" s="98"/>
      <c r="Z462" s="98"/>
      <c r="AA462" s="98"/>
      <c r="AB462" s="98"/>
      <c r="AC462" s="98"/>
    </row>
    <row r="463">
      <c r="A463" s="98"/>
      <c r="B463" s="98"/>
      <c r="C463" s="98"/>
      <c r="D463" s="98"/>
      <c r="E463" s="121"/>
      <c r="F463" s="98"/>
      <c r="G463" s="98"/>
      <c r="H463" s="98"/>
      <c r="I463" s="98"/>
      <c r="J463" s="98"/>
      <c r="K463" s="98"/>
      <c r="L463" s="98"/>
      <c r="M463" s="98"/>
      <c r="N463" s="98"/>
      <c r="O463" s="98"/>
      <c r="P463" s="98"/>
      <c r="Q463" s="98"/>
      <c r="R463" s="98"/>
      <c r="S463" s="98"/>
      <c r="T463" s="98"/>
      <c r="U463" s="98"/>
      <c r="V463" s="98"/>
      <c r="W463" s="98"/>
      <c r="X463" s="98"/>
      <c r="Y463" s="98"/>
      <c r="Z463" s="98"/>
      <c r="AA463" s="98"/>
      <c r="AB463" s="98"/>
      <c r="AC463" s="98"/>
    </row>
    <row r="464">
      <c r="A464" s="98"/>
      <c r="B464" s="98"/>
      <c r="C464" s="98"/>
      <c r="D464" s="98"/>
      <c r="E464" s="121"/>
      <c r="F464" s="98"/>
      <c r="G464" s="98"/>
      <c r="H464" s="98"/>
      <c r="I464" s="98"/>
      <c r="J464" s="98"/>
      <c r="K464" s="98"/>
      <c r="L464" s="98"/>
      <c r="M464" s="98"/>
      <c r="N464" s="98"/>
      <c r="O464" s="98"/>
      <c r="P464" s="98"/>
      <c r="Q464" s="98"/>
      <c r="R464" s="98"/>
      <c r="S464" s="98"/>
      <c r="T464" s="98"/>
      <c r="U464" s="98"/>
      <c r="V464" s="98"/>
      <c r="W464" s="98"/>
      <c r="X464" s="98"/>
      <c r="Y464" s="98"/>
      <c r="Z464" s="98"/>
      <c r="AA464" s="98"/>
      <c r="AB464" s="98"/>
      <c r="AC464" s="98"/>
    </row>
    <row r="465">
      <c r="A465" s="98"/>
      <c r="B465" s="98"/>
      <c r="C465" s="98"/>
      <c r="D465" s="98"/>
      <c r="E465" s="121"/>
      <c r="F465" s="98"/>
      <c r="G465" s="98"/>
      <c r="H465" s="98"/>
      <c r="I465" s="98"/>
      <c r="J465" s="98"/>
      <c r="K465" s="98"/>
      <c r="L465" s="98"/>
      <c r="M465" s="98"/>
      <c r="N465" s="98"/>
      <c r="O465" s="98"/>
      <c r="P465" s="98"/>
      <c r="Q465" s="98"/>
      <c r="R465" s="98"/>
      <c r="S465" s="98"/>
      <c r="T465" s="98"/>
      <c r="U465" s="98"/>
      <c r="V465" s="98"/>
      <c r="W465" s="98"/>
      <c r="X465" s="98"/>
      <c r="Y465" s="98"/>
      <c r="Z465" s="98"/>
      <c r="AA465" s="98"/>
      <c r="AB465" s="98"/>
      <c r="AC465" s="98"/>
    </row>
    <row r="466">
      <c r="A466" s="98"/>
      <c r="B466" s="98"/>
      <c r="C466" s="98"/>
      <c r="D466" s="98"/>
      <c r="E466" s="121"/>
      <c r="F466" s="98"/>
      <c r="G466" s="98"/>
      <c r="H466" s="98"/>
      <c r="I466" s="98"/>
      <c r="J466" s="98"/>
      <c r="K466" s="98"/>
      <c r="L466" s="98"/>
      <c r="M466" s="98"/>
      <c r="N466" s="98"/>
      <c r="O466" s="98"/>
      <c r="P466" s="98"/>
      <c r="Q466" s="98"/>
      <c r="R466" s="98"/>
      <c r="S466" s="98"/>
      <c r="T466" s="98"/>
      <c r="U466" s="98"/>
      <c r="V466" s="98"/>
      <c r="W466" s="98"/>
      <c r="X466" s="98"/>
      <c r="Y466" s="98"/>
      <c r="Z466" s="98"/>
      <c r="AA466" s="98"/>
      <c r="AB466" s="98"/>
      <c r="AC466" s="98"/>
    </row>
    <row r="467">
      <c r="A467" s="98"/>
      <c r="B467" s="98"/>
      <c r="C467" s="98"/>
      <c r="D467" s="98"/>
      <c r="E467" s="121"/>
      <c r="F467" s="98"/>
      <c r="G467" s="98"/>
      <c r="H467" s="98"/>
      <c r="I467" s="98"/>
      <c r="J467" s="98"/>
      <c r="K467" s="98"/>
      <c r="L467" s="98"/>
      <c r="M467" s="98"/>
      <c r="N467" s="98"/>
      <c r="O467" s="98"/>
      <c r="P467" s="98"/>
      <c r="Q467" s="98"/>
      <c r="R467" s="98"/>
      <c r="S467" s="98"/>
      <c r="T467" s="98"/>
      <c r="U467" s="98"/>
      <c r="V467" s="98"/>
      <c r="W467" s="98"/>
      <c r="X467" s="98"/>
      <c r="Y467" s="98"/>
      <c r="Z467" s="98"/>
      <c r="AA467" s="98"/>
      <c r="AB467" s="98"/>
      <c r="AC467" s="98"/>
    </row>
    <row r="468">
      <c r="A468" s="98"/>
      <c r="B468" s="98"/>
      <c r="C468" s="98"/>
      <c r="D468" s="98"/>
      <c r="E468" s="121"/>
      <c r="F468" s="98"/>
      <c r="G468" s="98"/>
      <c r="H468" s="98"/>
      <c r="I468" s="98"/>
      <c r="J468" s="98"/>
      <c r="K468" s="98"/>
      <c r="L468" s="98"/>
      <c r="M468" s="98"/>
      <c r="N468" s="98"/>
      <c r="O468" s="98"/>
      <c r="P468" s="98"/>
      <c r="Q468" s="98"/>
      <c r="R468" s="98"/>
      <c r="S468" s="98"/>
      <c r="T468" s="98"/>
      <c r="U468" s="98"/>
      <c r="V468" s="98"/>
      <c r="W468" s="98"/>
      <c r="X468" s="98"/>
      <c r="Y468" s="98"/>
      <c r="Z468" s="98"/>
      <c r="AA468" s="98"/>
      <c r="AB468" s="98"/>
      <c r="AC468" s="98"/>
    </row>
    <row r="469">
      <c r="A469" s="98"/>
      <c r="B469" s="98"/>
      <c r="C469" s="98"/>
      <c r="D469" s="98"/>
      <c r="E469" s="121"/>
      <c r="F469" s="98"/>
      <c r="G469" s="98"/>
      <c r="H469" s="98"/>
      <c r="I469" s="98"/>
      <c r="J469" s="98"/>
      <c r="K469" s="98"/>
      <c r="L469" s="98"/>
      <c r="M469" s="98"/>
      <c r="N469" s="98"/>
      <c r="O469" s="98"/>
      <c r="P469" s="98"/>
      <c r="Q469" s="98"/>
      <c r="R469" s="98"/>
      <c r="S469" s="98"/>
      <c r="T469" s="98"/>
      <c r="U469" s="98"/>
      <c r="V469" s="98"/>
      <c r="W469" s="98"/>
      <c r="X469" s="98"/>
      <c r="Y469" s="98"/>
      <c r="Z469" s="98"/>
      <c r="AA469" s="98"/>
      <c r="AB469" s="98"/>
      <c r="AC469" s="98"/>
    </row>
    <row r="470">
      <c r="A470" s="98"/>
      <c r="B470" s="98"/>
      <c r="C470" s="98"/>
      <c r="D470" s="98"/>
      <c r="E470" s="121"/>
      <c r="F470" s="98"/>
      <c r="G470" s="98"/>
      <c r="H470" s="98"/>
      <c r="I470" s="98"/>
      <c r="J470" s="98"/>
      <c r="K470" s="98"/>
      <c r="L470" s="98"/>
      <c r="M470" s="98"/>
      <c r="N470" s="98"/>
      <c r="O470" s="98"/>
      <c r="P470" s="98"/>
      <c r="Q470" s="98"/>
      <c r="R470" s="98"/>
      <c r="S470" s="98"/>
      <c r="T470" s="98"/>
      <c r="U470" s="98"/>
      <c r="V470" s="98"/>
      <c r="W470" s="98"/>
      <c r="X470" s="98"/>
      <c r="Y470" s="98"/>
      <c r="Z470" s="98"/>
      <c r="AA470" s="98"/>
      <c r="AB470" s="98"/>
      <c r="AC470" s="98"/>
    </row>
    <row r="471">
      <c r="A471" s="98"/>
      <c r="B471" s="98"/>
      <c r="C471" s="98"/>
      <c r="D471" s="98"/>
      <c r="E471" s="121"/>
      <c r="F471" s="98"/>
      <c r="G471" s="98"/>
      <c r="H471" s="98"/>
      <c r="I471" s="98"/>
      <c r="J471" s="98"/>
      <c r="K471" s="98"/>
      <c r="L471" s="98"/>
      <c r="M471" s="98"/>
      <c r="N471" s="98"/>
      <c r="O471" s="98"/>
      <c r="P471" s="98"/>
      <c r="Q471" s="98"/>
      <c r="R471" s="98"/>
      <c r="S471" s="98"/>
      <c r="T471" s="98"/>
      <c r="U471" s="98"/>
      <c r="V471" s="98"/>
      <c r="W471" s="98"/>
      <c r="X471" s="98"/>
      <c r="Y471" s="98"/>
      <c r="Z471" s="98"/>
      <c r="AA471" s="98"/>
      <c r="AB471" s="98"/>
      <c r="AC471" s="98"/>
    </row>
    <row r="472">
      <c r="A472" s="98"/>
      <c r="B472" s="98"/>
      <c r="C472" s="98"/>
      <c r="D472" s="98"/>
      <c r="E472" s="121"/>
      <c r="F472" s="98"/>
      <c r="G472" s="98"/>
      <c r="H472" s="98"/>
      <c r="I472" s="98"/>
      <c r="J472" s="98"/>
      <c r="K472" s="98"/>
      <c r="L472" s="98"/>
      <c r="M472" s="98"/>
      <c r="N472" s="98"/>
      <c r="O472" s="98"/>
      <c r="P472" s="98"/>
      <c r="Q472" s="98"/>
      <c r="R472" s="98"/>
      <c r="S472" s="98"/>
      <c r="T472" s="98"/>
      <c r="U472" s="98"/>
      <c r="V472" s="98"/>
      <c r="W472" s="98"/>
      <c r="X472" s="98"/>
      <c r="Y472" s="98"/>
      <c r="Z472" s="98"/>
      <c r="AA472" s="98"/>
      <c r="AB472" s="98"/>
      <c r="AC472" s="98"/>
    </row>
    <row r="473">
      <c r="A473" s="98"/>
      <c r="B473" s="98"/>
      <c r="C473" s="98"/>
      <c r="D473" s="98"/>
      <c r="E473" s="121"/>
      <c r="F473" s="98"/>
      <c r="G473" s="98"/>
      <c r="H473" s="98"/>
      <c r="I473" s="98"/>
      <c r="J473" s="98"/>
      <c r="K473" s="98"/>
      <c r="L473" s="98"/>
      <c r="M473" s="98"/>
      <c r="N473" s="98"/>
      <c r="O473" s="98"/>
      <c r="P473" s="98"/>
      <c r="Q473" s="98"/>
      <c r="R473" s="98"/>
      <c r="S473" s="98"/>
      <c r="T473" s="98"/>
      <c r="U473" s="98"/>
      <c r="V473" s="98"/>
      <c r="W473" s="98"/>
      <c r="X473" s="98"/>
      <c r="Y473" s="98"/>
      <c r="Z473" s="98"/>
      <c r="AA473" s="98"/>
      <c r="AB473" s="98"/>
      <c r="AC473" s="98"/>
    </row>
    <row r="474">
      <c r="A474" s="98"/>
      <c r="B474" s="98"/>
      <c r="C474" s="98"/>
      <c r="D474" s="98"/>
      <c r="E474" s="121"/>
      <c r="F474" s="98"/>
      <c r="G474" s="98"/>
      <c r="H474" s="98"/>
      <c r="I474" s="98"/>
      <c r="J474" s="98"/>
      <c r="K474" s="98"/>
      <c r="L474" s="98"/>
      <c r="M474" s="98"/>
      <c r="N474" s="98"/>
      <c r="O474" s="98"/>
      <c r="P474" s="98"/>
      <c r="Q474" s="98"/>
      <c r="R474" s="98"/>
      <c r="S474" s="98"/>
      <c r="T474" s="98"/>
      <c r="U474" s="98"/>
      <c r="V474" s="98"/>
      <c r="W474" s="98"/>
      <c r="X474" s="98"/>
      <c r="Y474" s="98"/>
      <c r="Z474" s="98"/>
      <c r="AA474" s="98"/>
      <c r="AB474" s="98"/>
      <c r="AC474" s="98"/>
    </row>
    <row r="475">
      <c r="A475" s="98"/>
      <c r="B475" s="98"/>
      <c r="C475" s="98"/>
      <c r="D475" s="98"/>
      <c r="E475" s="121"/>
      <c r="F475" s="98"/>
      <c r="G475" s="98"/>
      <c r="H475" s="98"/>
      <c r="I475" s="98"/>
      <c r="J475" s="98"/>
      <c r="K475" s="98"/>
      <c r="L475" s="98"/>
      <c r="M475" s="98"/>
      <c r="N475" s="98"/>
      <c r="O475" s="98"/>
      <c r="P475" s="98"/>
      <c r="Q475" s="98"/>
      <c r="R475" s="98"/>
      <c r="S475" s="98"/>
      <c r="T475" s="98"/>
      <c r="U475" s="98"/>
      <c r="V475" s="98"/>
      <c r="W475" s="98"/>
      <c r="X475" s="98"/>
      <c r="Y475" s="98"/>
      <c r="Z475" s="98"/>
      <c r="AA475" s="98"/>
      <c r="AB475" s="98"/>
      <c r="AC475" s="98"/>
    </row>
    <row r="476">
      <c r="A476" s="98"/>
      <c r="B476" s="98"/>
      <c r="C476" s="98"/>
      <c r="D476" s="98"/>
      <c r="E476" s="121"/>
      <c r="F476" s="98"/>
      <c r="G476" s="98"/>
      <c r="H476" s="98"/>
      <c r="I476" s="98"/>
      <c r="J476" s="98"/>
      <c r="K476" s="98"/>
      <c r="L476" s="98"/>
      <c r="M476" s="98"/>
      <c r="N476" s="98"/>
      <c r="O476" s="98"/>
      <c r="P476" s="98"/>
      <c r="Q476" s="98"/>
      <c r="R476" s="98"/>
      <c r="S476" s="98"/>
      <c r="T476" s="98"/>
      <c r="U476" s="98"/>
      <c r="V476" s="98"/>
      <c r="W476" s="98"/>
      <c r="X476" s="98"/>
      <c r="Y476" s="98"/>
      <c r="Z476" s="98"/>
      <c r="AA476" s="98"/>
      <c r="AB476" s="98"/>
      <c r="AC476" s="98"/>
    </row>
    <row r="477">
      <c r="A477" s="98"/>
      <c r="B477" s="98"/>
      <c r="C477" s="98"/>
      <c r="D477" s="98"/>
      <c r="E477" s="121"/>
      <c r="F477" s="98"/>
      <c r="G477" s="98"/>
      <c r="H477" s="98"/>
      <c r="I477" s="98"/>
      <c r="J477" s="98"/>
      <c r="K477" s="98"/>
      <c r="L477" s="98"/>
      <c r="M477" s="98"/>
      <c r="N477" s="98"/>
      <c r="O477" s="98"/>
      <c r="P477" s="98"/>
      <c r="Q477" s="98"/>
      <c r="R477" s="98"/>
      <c r="S477" s="98"/>
      <c r="T477" s="98"/>
      <c r="U477" s="98"/>
      <c r="V477" s="98"/>
      <c r="W477" s="98"/>
      <c r="X477" s="98"/>
      <c r="Y477" s="98"/>
      <c r="Z477" s="98"/>
      <c r="AA477" s="98"/>
      <c r="AB477" s="98"/>
      <c r="AC477" s="98"/>
    </row>
    <row r="478">
      <c r="A478" s="98"/>
      <c r="B478" s="98"/>
      <c r="C478" s="98"/>
      <c r="D478" s="98"/>
      <c r="E478" s="121"/>
      <c r="F478" s="98"/>
      <c r="G478" s="98"/>
      <c r="H478" s="98"/>
      <c r="I478" s="98"/>
      <c r="J478" s="98"/>
      <c r="K478" s="98"/>
      <c r="L478" s="98"/>
      <c r="M478" s="98"/>
      <c r="N478" s="98"/>
      <c r="O478" s="98"/>
      <c r="P478" s="98"/>
      <c r="Q478" s="98"/>
      <c r="R478" s="98"/>
      <c r="S478" s="98"/>
      <c r="T478" s="98"/>
      <c r="U478" s="98"/>
      <c r="V478" s="98"/>
      <c r="W478" s="98"/>
      <c r="X478" s="98"/>
      <c r="Y478" s="98"/>
      <c r="Z478" s="98"/>
      <c r="AA478" s="98"/>
      <c r="AB478" s="98"/>
      <c r="AC478" s="98"/>
    </row>
    <row r="479">
      <c r="A479" s="98"/>
      <c r="B479" s="98"/>
      <c r="C479" s="98"/>
      <c r="D479" s="98"/>
      <c r="E479" s="121"/>
      <c r="F479" s="98"/>
      <c r="G479" s="98"/>
      <c r="H479" s="98"/>
      <c r="I479" s="98"/>
      <c r="J479" s="98"/>
      <c r="K479" s="98"/>
      <c r="L479" s="98"/>
      <c r="M479" s="98"/>
      <c r="N479" s="98"/>
      <c r="O479" s="98"/>
      <c r="P479" s="98"/>
      <c r="Q479" s="98"/>
      <c r="R479" s="98"/>
      <c r="S479" s="98"/>
      <c r="T479" s="98"/>
      <c r="U479" s="98"/>
      <c r="V479" s="98"/>
      <c r="W479" s="98"/>
      <c r="X479" s="98"/>
      <c r="Y479" s="98"/>
      <c r="Z479" s="98"/>
      <c r="AA479" s="98"/>
      <c r="AB479" s="98"/>
      <c r="AC479" s="98"/>
    </row>
    <row r="480">
      <c r="A480" s="98"/>
      <c r="B480" s="98"/>
      <c r="C480" s="98"/>
      <c r="D480" s="98"/>
      <c r="E480" s="121"/>
      <c r="F480" s="98"/>
      <c r="G480" s="98"/>
      <c r="H480" s="98"/>
      <c r="I480" s="98"/>
      <c r="J480" s="98"/>
      <c r="K480" s="98"/>
      <c r="L480" s="98"/>
      <c r="M480" s="98"/>
      <c r="N480" s="98"/>
      <c r="O480" s="98"/>
      <c r="P480" s="98"/>
      <c r="Q480" s="98"/>
      <c r="R480" s="98"/>
      <c r="S480" s="98"/>
      <c r="T480" s="98"/>
      <c r="U480" s="98"/>
      <c r="V480" s="98"/>
      <c r="W480" s="98"/>
      <c r="X480" s="98"/>
      <c r="Y480" s="98"/>
      <c r="Z480" s="98"/>
      <c r="AA480" s="98"/>
      <c r="AB480" s="98"/>
      <c r="AC480" s="98"/>
    </row>
    <row r="481">
      <c r="A481" s="98"/>
      <c r="B481" s="98"/>
      <c r="C481" s="98"/>
      <c r="D481" s="98"/>
      <c r="E481" s="121"/>
      <c r="F481" s="98"/>
      <c r="G481" s="98"/>
      <c r="H481" s="98"/>
      <c r="I481" s="98"/>
      <c r="J481" s="98"/>
      <c r="K481" s="98"/>
      <c r="L481" s="98"/>
      <c r="M481" s="98"/>
      <c r="N481" s="98"/>
      <c r="O481" s="98"/>
      <c r="P481" s="98"/>
      <c r="Q481" s="98"/>
      <c r="R481" s="98"/>
      <c r="S481" s="98"/>
      <c r="T481" s="98"/>
      <c r="U481" s="98"/>
      <c r="V481" s="98"/>
      <c r="W481" s="98"/>
      <c r="X481" s="98"/>
      <c r="Y481" s="98"/>
      <c r="Z481" s="98"/>
      <c r="AA481" s="98"/>
      <c r="AB481" s="98"/>
      <c r="AC481" s="98"/>
    </row>
    <row r="482">
      <c r="A482" s="98"/>
      <c r="B482" s="98"/>
      <c r="C482" s="98"/>
      <c r="D482" s="98"/>
      <c r="E482" s="121"/>
      <c r="F482" s="98"/>
      <c r="G482" s="98"/>
      <c r="H482" s="98"/>
      <c r="I482" s="98"/>
      <c r="J482" s="98"/>
      <c r="K482" s="98"/>
      <c r="L482" s="98"/>
      <c r="M482" s="98"/>
      <c r="N482" s="98"/>
      <c r="O482" s="98"/>
      <c r="P482" s="98"/>
      <c r="Q482" s="98"/>
      <c r="R482" s="98"/>
      <c r="S482" s="98"/>
      <c r="T482" s="98"/>
      <c r="U482" s="98"/>
      <c r="V482" s="98"/>
      <c r="W482" s="98"/>
      <c r="X482" s="98"/>
      <c r="Y482" s="98"/>
      <c r="Z482" s="98"/>
      <c r="AA482" s="98"/>
      <c r="AB482" s="98"/>
      <c r="AC482" s="98"/>
    </row>
    <row r="483">
      <c r="A483" s="98"/>
      <c r="B483" s="98"/>
      <c r="C483" s="98"/>
      <c r="D483" s="98"/>
      <c r="E483" s="121"/>
      <c r="F483" s="98"/>
      <c r="G483" s="98"/>
      <c r="H483" s="98"/>
      <c r="I483" s="98"/>
      <c r="J483" s="98"/>
      <c r="K483" s="98"/>
      <c r="L483" s="98"/>
      <c r="M483" s="98"/>
      <c r="N483" s="98"/>
      <c r="O483" s="98"/>
      <c r="P483" s="98"/>
      <c r="Q483" s="98"/>
      <c r="R483" s="98"/>
      <c r="S483" s="98"/>
      <c r="T483" s="98"/>
      <c r="U483" s="98"/>
      <c r="V483" s="98"/>
      <c r="W483" s="98"/>
      <c r="X483" s="98"/>
      <c r="Y483" s="98"/>
      <c r="Z483" s="98"/>
      <c r="AA483" s="98"/>
      <c r="AB483" s="98"/>
      <c r="AC483" s="98"/>
    </row>
    <row r="484">
      <c r="A484" s="98"/>
      <c r="B484" s="98"/>
      <c r="C484" s="98"/>
      <c r="D484" s="98"/>
      <c r="E484" s="121"/>
      <c r="F484" s="98"/>
      <c r="G484" s="98"/>
      <c r="H484" s="98"/>
      <c r="I484" s="98"/>
      <c r="J484" s="98"/>
      <c r="K484" s="98"/>
      <c r="L484" s="98"/>
      <c r="M484" s="98"/>
      <c r="N484" s="98"/>
      <c r="O484" s="98"/>
      <c r="P484" s="98"/>
      <c r="Q484" s="98"/>
      <c r="R484" s="98"/>
      <c r="S484" s="98"/>
      <c r="T484" s="98"/>
      <c r="U484" s="98"/>
      <c r="V484" s="98"/>
      <c r="W484" s="98"/>
      <c r="X484" s="98"/>
      <c r="Y484" s="98"/>
      <c r="Z484" s="98"/>
      <c r="AA484" s="98"/>
      <c r="AB484" s="98"/>
      <c r="AC484" s="98"/>
    </row>
    <row r="485">
      <c r="A485" s="98"/>
      <c r="B485" s="98"/>
      <c r="C485" s="98"/>
      <c r="D485" s="98"/>
      <c r="E485" s="121"/>
      <c r="F485" s="98"/>
      <c r="G485" s="98"/>
      <c r="H485" s="98"/>
      <c r="I485" s="98"/>
      <c r="J485" s="98"/>
      <c r="K485" s="98"/>
      <c r="L485" s="98"/>
      <c r="M485" s="98"/>
      <c r="N485" s="98"/>
      <c r="O485" s="98"/>
      <c r="P485" s="98"/>
      <c r="Q485" s="98"/>
      <c r="R485" s="98"/>
      <c r="S485" s="98"/>
      <c r="T485" s="98"/>
      <c r="U485" s="98"/>
      <c r="V485" s="98"/>
      <c r="W485" s="98"/>
      <c r="X485" s="98"/>
      <c r="Y485" s="98"/>
      <c r="Z485" s="98"/>
      <c r="AA485" s="98"/>
      <c r="AB485" s="98"/>
      <c r="AC485" s="98"/>
    </row>
    <row r="486">
      <c r="A486" s="98"/>
      <c r="B486" s="98"/>
      <c r="C486" s="98"/>
      <c r="D486" s="98"/>
      <c r="E486" s="121"/>
      <c r="F486" s="98"/>
      <c r="G486" s="98"/>
      <c r="H486" s="98"/>
      <c r="I486" s="98"/>
      <c r="J486" s="98"/>
      <c r="K486" s="98"/>
      <c r="L486" s="98"/>
      <c r="M486" s="98"/>
      <c r="N486" s="98"/>
      <c r="O486" s="98"/>
      <c r="P486" s="98"/>
      <c r="Q486" s="98"/>
      <c r="R486" s="98"/>
      <c r="S486" s="98"/>
      <c r="T486" s="98"/>
      <c r="U486" s="98"/>
      <c r="V486" s="98"/>
      <c r="W486" s="98"/>
      <c r="X486" s="98"/>
      <c r="Y486" s="98"/>
      <c r="Z486" s="98"/>
      <c r="AA486" s="98"/>
      <c r="AB486" s="98"/>
      <c r="AC486" s="98"/>
    </row>
    <row r="487">
      <c r="A487" s="98"/>
      <c r="B487" s="98"/>
      <c r="C487" s="98"/>
      <c r="D487" s="98"/>
      <c r="E487" s="121"/>
      <c r="F487" s="98"/>
      <c r="G487" s="98"/>
      <c r="H487" s="98"/>
      <c r="I487" s="98"/>
      <c r="J487" s="98"/>
      <c r="K487" s="98"/>
      <c r="L487" s="98"/>
      <c r="M487" s="98"/>
      <c r="N487" s="98"/>
      <c r="O487" s="98"/>
      <c r="P487" s="98"/>
      <c r="Q487" s="98"/>
      <c r="R487" s="98"/>
      <c r="S487" s="98"/>
      <c r="T487" s="98"/>
      <c r="U487" s="98"/>
      <c r="V487" s="98"/>
      <c r="W487" s="98"/>
      <c r="X487" s="98"/>
      <c r="Y487" s="98"/>
      <c r="Z487" s="98"/>
      <c r="AA487" s="98"/>
      <c r="AB487" s="98"/>
      <c r="AC487" s="98"/>
    </row>
    <row r="488">
      <c r="A488" s="98"/>
      <c r="B488" s="98"/>
      <c r="C488" s="98"/>
      <c r="D488" s="98"/>
      <c r="E488" s="121"/>
      <c r="F488" s="98"/>
      <c r="G488" s="98"/>
      <c r="H488" s="98"/>
      <c r="I488" s="98"/>
      <c r="J488" s="98"/>
      <c r="K488" s="98"/>
      <c r="L488" s="98"/>
      <c r="M488" s="98"/>
      <c r="N488" s="98"/>
      <c r="O488" s="98"/>
      <c r="P488" s="98"/>
      <c r="Q488" s="98"/>
      <c r="R488" s="98"/>
      <c r="S488" s="98"/>
      <c r="T488" s="98"/>
      <c r="U488" s="98"/>
      <c r="V488" s="98"/>
      <c r="W488" s="98"/>
      <c r="X488" s="98"/>
      <c r="Y488" s="98"/>
      <c r="Z488" s="98"/>
      <c r="AA488" s="98"/>
      <c r="AB488" s="98"/>
      <c r="AC488" s="98"/>
    </row>
    <row r="489">
      <c r="A489" s="98"/>
      <c r="B489" s="98"/>
      <c r="C489" s="98"/>
      <c r="D489" s="98"/>
      <c r="E489" s="121"/>
      <c r="F489" s="98"/>
      <c r="G489" s="98"/>
      <c r="H489" s="98"/>
      <c r="I489" s="98"/>
      <c r="J489" s="98"/>
      <c r="K489" s="98"/>
      <c r="L489" s="98"/>
      <c r="M489" s="98"/>
      <c r="N489" s="98"/>
      <c r="O489" s="98"/>
      <c r="P489" s="98"/>
      <c r="Q489" s="98"/>
      <c r="R489" s="98"/>
      <c r="S489" s="98"/>
      <c r="T489" s="98"/>
      <c r="U489" s="98"/>
      <c r="V489" s="98"/>
      <c r="W489" s="98"/>
      <c r="X489" s="98"/>
      <c r="Y489" s="98"/>
      <c r="Z489" s="98"/>
      <c r="AA489" s="98"/>
      <c r="AB489" s="98"/>
      <c r="AC489" s="98"/>
    </row>
    <row r="490">
      <c r="A490" s="98"/>
      <c r="B490" s="98"/>
      <c r="C490" s="98"/>
      <c r="D490" s="98"/>
      <c r="E490" s="121"/>
      <c r="F490" s="98"/>
      <c r="G490" s="98"/>
      <c r="H490" s="98"/>
      <c r="I490" s="98"/>
      <c r="J490" s="98"/>
      <c r="K490" s="98"/>
      <c r="L490" s="98"/>
      <c r="M490" s="98"/>
      <c r="N490" s="98"/>
      <c r="O490" s="98"/>
      <c r="P490" s="98"/>
      <c r="Q490" s="98"/>
      <c r="R490" s="98"/>
      <c r="S490" s="98"/>
      <c r="T490" s="98"/>
      <c r="U490" s="98"/>
      <c r="V490" s="98"/>
      <c r="W490" s="98"/>
      <c r="X490" s="98"/>
      <c r="Y490" s="98"/>
      <c r="Z490" s="98"/>
      <c r="AA490" s="98"/>
      <c r="AB490" s="98"/>
      <c r="AC490" s="98"/>
    </row>
    <row r="491">
      <c r="A491" s="98"/>
      <c r="B491" s="98"/>
      <c r="C491" s="98"/>
      <c r="D491" s="98"/>
      <c r="E491" s="121"/>
      <c r="F491" s="98"/>
      <c r="G491" s="98"/>
      <c r="H491" s="98"/>
      <c r="I491" s="98"/>
      <c r="J491" s="98"/>
      <c r="K491" s="98"/>
      <c r="L491" s="98"/>
      <c r="M491" s="98"/>
      <c r="N491" s="98"/>
      <c r="O491" s="98"/>
      <c r="P491" s="98"/>
      <c r="Q491" s="98"/>
      <c r="R491" s="98"/>
      <c r="S491" s="98"/>
      <c r="T491" s="98"/>
      <c r="U491" s="98"/>
      <c r="V491" s="98"/>
      <c r="W491" s="98"/>
      <c r="X491" s="98"/>
      <c r="Y491" s="98"/>
      <c r="Z491" s="98"/>
      <c r="AA491" s="98"/>
      <c r="AB491" s="98"/>
      <c r="AC491" s="98"/>
    </row>
    <row r="492">
      <c r="A492" s="98"/>
      <c r="B492" s="98"/>
      <c r="C492" s="98"/>
      <c r="D492" s="98"/>
      <c r="E492" s="121"/>
      <c r="F492" s="98"/>
      <c r="G492" s="98"/>
      <c r="H492" s="98"/>
      <c r="I492" s="98"/>
      <c r="J492" s="98"/>
      <c r="K492" s="98"/>
      <c r="L492" s="98"/>
      <c r="M492" s="98"/>
      <c r="N492" s="98"/>
      <c r="O492" s="98"/>
      <c r="P492" s="98"/>
      <c r="Q492" s="98"/>
      <c r="R492" s="98"/>
      <c r="S492" s="98"/>
      <c r="T492" s="98"/>
      <c r="U492" s="98"/>
      <c r="V492" s="98"/>
      <c r="W492" s="98"/>
      <c r="X492" s="98"/>
      <c r="Y492" s="98"/>
      <c r="Z492" s="98"/>
      <c r="AA492" s="98"/>
      <c r="AB492" s="98"/>
      <c r="AC492" s="98"/>
    </row>
    <row r="493">
      <c r="A493" s="98"/>
      <c r="B493" s="98"/>
      <c r="C493" s="98"/>
      <c r="D493" s="98"/>
      <c r="E493" s="121"/>
      <c r="F493" s="98"/>
      <c r="G493" s="98"/>
      <c r="H493" s="98"/>
      <c r="I493" s="98"/>
      <c r="J493" s="98"/>
      <c r="K493" s="98"/>
      <c r="L493" s="98"/>
      <c r="M493" s="98"/>
      <c r="N493" s="98"/>
      <c r="O493" s="98"/>
      <c r="P493" s="98"/>
      <c r="Q493" s="98"/>
      <c r="R493" s="98"/>
      <c r="S493" s="98"/>
      <c r="T493" s="98"/>
      <c r="U493" s="98"/>
      <c r="V493" s="98"/>
      <c r="W493" s="98"/>
      <c r="X493" s="98"/>
      <c r="Y493" s="98"/>
      <c r="Z493" s="98"/>
      <c r="AA493" s="98"/>
      <c r="AB493" s="98"/>
      <c r="AC493" s="98"/>
    </row>
    <row r="494">
      <c r="A494" s="98"/>
      <c r="B494" s="98"/>
      <c r="C494" s="98"/>
      <c r="D494" s="98"/>
      <c r="E494" s="121"/>
      <c r="F494" s="98"/>
      <c r="G494" s="98"/>
      <c r="H494" s="98"/>
      <c r="I494" s="98"/>
      <c r="J494" s="98"/>
      <c r="K494" s="98"/>
      <c r="L494" s="98"/>
      <c r="M494" s="98"/>
      <c r="N494" s="98"/>
      <c r="O494" s="98"/>
      <c r="P494" s="98"/>
      <c r="Q494" s="98"/>
      <c r="R494" s="98"/>
      <c r="S494" s="98"/>
      <c r="T494" s="98"/>
      <c r="U494" s="98"/>
      <c r="V494" s="98"/>
      <c r="W494" s="98"/>
      <c r="X494" s="98"/>
      <c r="Y494" s="98"/>
      <c r="Z494" s="98"/>
      <c r="AA494" s="98"/>
      <c r="AB494" s="98"/>
      <c r="AC494" s="98"/>
    </row>
    <row r="495">
      <c r="A495" s="98"/>
      <c r="B495" s="98"/>
      <c r="C495" s="98"/>
      <c r="D495" s="98"/>
      <c r="E495" s="121"/>
      <c r="F495" s="98"/>
      <c r="G495" s="98"/>
      <c r="H495" s="98"/>
      <c r="I495" s="98"/>
      <c r="J495" s="98"/>
      <c r="K495" s="98"/>
      <c r="L495" s="98"/>
      <c r="M495" s="98"/>
      <c r="N495" s="98"/>
      <c r="O495" s="98"/>
      <c r="P495" s="98"/>
      <c r="Q495" s="98"/>
      <c r="R495" s="98"/>
      <c r="S495" s="98"/>
      <c r="T495" s="98"/>
      <c r="U495" s="98"/>
      <c r="V495" s="98"/>
      <c r="W495" s="98"/>
      <c r="X495" s="98"/>
      <c r="Y495" s="98"/>
      <c r="Z495" s="98"/>
      <c r="AA495" s="98"/>
      <c r="AB495" s="98"/>
      <c r="AC495" s="98"/>
    </row>
    <row r="496">
      <c r="A496" s="98"/>
      <c r="B496" s="98"/>
      <c r="C496" s="98"/>
      <c r="D496" s="98"/>
      <c r="E496" s="121"/>
      <c r="F496" s="98"/>
      <c r="G496" s="98"/>
      <c r="H496" s="98"/>
      <c r="I496" s="98"/>
      <c r="J496" s="98"/>
      <c r="K496" s="98"/>
      <c r="L496" s="98"/>
      <c r="M496" s="98"/>
      <c r="N496" s="98"/>
      <c r="O496" s="98"/>
      <c r="P496" s="98"/>
      <c r="Q496" s="98"/>
      <c r="R496" s="98"/>
      <c r="S496" s="98"/>
      <c r="T496" s="98"/>
      <c r="U496" s="98"/>
      <c r="V496" s="98"/>
      <c r="W496" s="98"/>
      <c r="X496" s="98"/>
      <c r="Y496" s="98"/>
      <c r="Z496" s="98"/>
      <c r="AA496" s="98"/>
      <c r="AB496" s="98"/>
      <c r="AC496" s="98"/>
    </row>
    <row r="497">
      <c r="A497" s="98"/>
      <c r="B497" s="98"/>
      <c r="C497" s="98"/>
      <c r="D497" s="98"/>
      <c r="E497" s="121"/>
      <c r="F497" s="98"/>
      <c r="G497" s="98"/>
      <c r="H497" s="98"/>
      <c r="I497" s="98"/>
      <c r="J497" s="98"/>
      <c r="K497" s="98"/>
      <c r="L497" s="98"/>
      <c r="M497" s="98"/>
      <c r="N497" s="98"/>
      <c r="O497" s="98"/>
      <c r="P497" s="98"/>
      <c r="Q497" s="98"/>
      <c r="R497" s="98"/>
      <c r="S497" s="98"/>
      <c r="T497" s="98"/>
      <c r="U497" s="98"/>
      <c r="V497" s="98"/>
      <c r="W497" s="98"/>
      <c r="X497" s="98"/>
      <c r="Y497" s="98"/>
      <c r="Z497" s="98"/>
      <c r="AA497" s="98"/>
      <c r="AB497" s="98"/>
      <c r="AC497" s="98"/>
    </row>
    <row r="498">
      <c r="A498" s="98"/>
      <c r="B498" s="98"/>
      <c r="C498" s="98"/>
      <c r="D498" s="98"/>
      <c r="E498" s="121"/>
      <c r="F498" s="98"/>
      <c r="G498" s="98"/>
      <c r="H498" s="98"/>
      <c r="I498" s="98"/>
      <c r="J498" s="98"/>
      <c r="K498" s="98"/>
      <c r="L498" s="98"/>
      <c r="M498" s="98"/>
      <c r="N498" s="98"/>
      <c r="O498" s="98"/>
      <c r="P498" s="98"/>
      <c r="Q498" s="98"/>
      <c r="R498" s="98"/>
      <c r="S498" s="98"/>
      <c r="T498" s="98"/>
      <c r="U498" s="98"/>
      <c r="V498" s="98"/>
      <c r="W498" s="98"/>
      <c r="X498" s="98"/>
      <c r="Y498" s="98"/>
      <c r="Z498" s="98"/>
      <c r="AA498" s="98"/>
      <c r="AB498" s="98"/>
      <c r="AC498" s="98"/>
    </row>
    <row r="499">
      <c r="A499" s="98"/>
      <c r="B499" s="98"/>
      <c r="C499" s="98"/>
      <c r="D499" s="98"/>
      <c r="E499" s="121"/>
      <c r="F499" s="98"/>
      <c r="G499" s="98"/>
      <c r="H499" s="98"/>
      <c r="I499" s="98"/>
      <c r="J499" s="98"/>
      <c r="K499" s="98"/>
      <c r="L499" s="98"/>
      <c r="M499" s="98"/>
      <c r="N499" s="98"/>
      <c r="O499" s="98"/>
      <c r="P499" s="98"/>
      <c r="Q499" s="98"/>
      <c r="R499" s="98"/>
      <c r="S499" s="98"/>
      <c r="T499" s="98"/>
      <c r="U499" s="98"/>
      <c r="V499" s="98"/>
      <c r="W499" s="98"/>
      <c r="X499" s="98"/>
      <c r="Y499" s="98"/>
      <c r="Z499" s="98"/>
      <c r="AA499" s="98"/>
      <c r="AB499" s="98"/>
      <c r="AC499" s="98"/>
    </row>
    <row r="500">
      <c r="A500" s="98"/>
      <c r="B500" s="98"/>
      <c r="C500" s="98"/>
      <c r="D500" s="98"/>
      <c r="E500" s="121"/>
      <c r="F500" s="98"/>
      <c r="G500" s="98"/>
      <c r="H500" s="98"/>
      <c r="I500" s="98"/>
      <c r="J500" s="98"/>
      <c r="K500" s="98"/>
      <c r="L500" s="98"/>
      <c r="M500" s="98"/>
      <c r="N500" s="98"/>
      <c r="O500" s="98"/>
      <c r="P500" s="98"/>
      <c r="Q500" s="98"/>
      <c r="R500" s="98"/>
      <c r="S500" s="98"/>
      <c r="T500" s="98"/>
      <c r="U500" s="98"/>
      <c r="V500" s="98"/>
      <c r="W500" s="98"/>
      <c r="X500" s="98"/>
      <c r="Y500" s="98"/>
      <c r="Z500" s="98"/>
      <c r="AA500" s="98"/>
      <c r="AB500" s="98"/>
      <c r="AC500" s="98"/>
    </row>
    <row r="501">
      <c r="A501" s="98"/>
      <c r="B501" s="98"/>
      <c r="C501" s="98"/>
      <c r="D501" s="98"/>
      <c r="E501" s="121"/>
      <c r="F501" s="98"/>
      <c r="G501" s="98"/>
      <c r="H501" s="98"/>
      <c r="I501" s="98"/>
      <c r="J501" s="98"/>
      <c r="K501" s="98"/>
      <c r="L501" s="98"/>
      <c r="M501" s="98"/>
      <c r="N501" s="98"/>
      <c r="O501" s="98"/>
      <c r="P501" s="98"/>
      <c r="Q501" s="98"/>
      <c r="R501" s="98"/>
      <c r="S501" s="98"/>
      <c r="T501" s="98"/>
      <c r="U501" s="98"/>
      <c r="V501" s="98"/>
      <c r="W501" s="98"/>
      <c r="X501" s="98"/>
      <c r="Y501" s="98"/>
      <c r="Z501" s="98"/>
      <c r="AA501" s="98"/>
      <c r="AB501" s="98"/>
      <c r="AC501" s="98"/>
    </row>
    <row r="502">
      <c r="A502" s="98"/>
      <c r="B502" s="98"/>
      <c r="C502" s="98"/>
      <c r="D502" s="98"/>
      <c r="E502" s="121"/>
      <c r="F502" s="98"/>
      <c r="G502" s="98"/>
      <c r="H502" s="98"/>
      <c r="I502" s="98"/>
      <c r="J502" s="98"/>
      <c r="K502" s="98"/>
      <c r="L502" s="98"/>
      <c r="M502" s="98"/>
      <c r="N502" s="98"/>
      <c r="O502" s="98"/>
      <c r="P502" s="98"/>
      <c r="Q502" s="98"/>
      <c r="R502" s="98"/>
      <c r="S502" s="98"/>
      <c r="T502" s="98"/>
      <c r="U502" s="98"/>
      <c r="V502" s="98"/>
      <c r="W502" s="98"/>
      <c r="X502" s="98"/>
      <c r="Y502" s="98"/>
      <c r="Z502" s="98"/>
      <c r="AA502" s="98"/>
      <c r="AB502" s="98"/>
      <c r="AC502" s="98"/>
    </row>
    <row r="503">
      <c r="A503" s="98"/>
      <c r="B503" s="98"/>
      <c r="C503" s="98"/>
      <c r="D503" s="98"/>
      <c r="E503" s="121"/>
      <c r="F503" s="98"/>
      <c r="G503" s="98"/>
      <c r="H503" s="98"/>
      <c r="I503" s="98"/>
      <c r="J503" s="98"/>
      <c r="K503" s="98"/>
      <c r="L503" s="98"/>
      <c r="M503" s="98"/>
      <c r="N503" s="98"/>
      <c r="O503" s="98"/>
      <c r="P503" s="98"/>
      <c r="Q503" s="98"/>
      <c r="R503" s="98"/>
      <c r="S503" s="98"/>
      <c r="T503" s="98"/>
      <c r="U503" s="98"/>
      <c r="V503" s="98"/>
      <c r="W503" s="98"/>
      <c r="X503" s="98"/>
      <c r="Y503" s="98"/>
      <c r="Z503" s="98"/>
      <c r="AA503" s="98"/>
      <c r="AB503" s="98"/>
      <c r="AC503" s="98"/>
    </row>
    <row r="504">
      <c r="A504" s="98"/>
      <c r="B504" s="98"/>
      <c r="C504" s="98"/>
      <c r="D504" s="98"/>
      <c r="E504" s="121"/>
      <c r="F504" s="98"/>
      <c r="G504" s="98"/>
      <c r="H504" s="98"/>
      <c r="I504" s="98"/>
      <c r="J504" s="98"/>
      <c r="K504" s="98"/>
      <c r="L504" s="98"/>
      <c r="M504" s="98"/>
      <c r="N504" s="98"/>
      <c r="O504" s="98"/>
      <c r="P504" s="98"/>
      <c r="Q504" s="98"/>
      <c r="R504" s="98"/>
      <c r="S504" s="98"/>
      <c r="T504" s="98"/>
      <c r="U504" s="98"/>
      <c r="V504" s="98"/>
      <c r="W504" s="98"/>
      <c r="X504" s="98"/>
      <c r="Y504" s="98"/>
      <c r="Z504" s="98"/>
      <c r="AA504" s="98"/>
      <c r="AB504" s="98"/>
      <c r="AC504" s="98"/>
    </row>
    <row r="505">
      <c r="A505" s="98"/>
      <c r="B505" s="98"/>
      <c r="C505" s="98"/>
      <c r="D505" s="98"/>
      <c r="E505" s="121"/>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row>
    <row r="506">
      <c r="A506" s="98"/>
      <c r="B506" s="98"/>
      <c r="C506" s="98"/>
      <c r="D506" s="98"/>
      <c r="E506" s="121"/>
      <c r="F506" s="98"/>
      <c r="G506" s="98"/>
      <c r="H506" s="98"/>
      <c r="I506" s="98"/>
      <c r="J506" s="98"/>
      <c r="K506" s="98"/>
      <c r="L506" s="98"/>
      <c r="M506" s="98"/>
      <c r="N506" s="98"/>
      <c r="O506" s="98"/>
      <c r="P506" s="98"/>
      <c r="Q506" s="98"/>
      <c r="R506" s="98"/>
      <c r="S506" s="98"/>
      <c r="T506" s="98"/>
      <c r="U506" s="98"/>
      <c r="V506" s="98"/>
      <c r="W506" s="98"/>
      <c r="X506" s="98"/>
      <c r="Y506" s="98"/>
      <c r="Z506" s="98"/>
      <c r="AA506" s="98"/>
      <c r="AB506" s="98"/>
      <c r="AC506" s="98"/>
    </row>
    <row r="507">
      <c r="A507" s="98"/>
      <c r="B507" s="98"/>
      <c r="C507" s="98"/>
      <c r="D507" s="98"/>
      <c r="E507" s="121"/>
      <c r="F507" s="98"/>
      <c r="G507" s="98"/>
      <c r="H507" s="98"/>
      <c r="I507" s="98"/>
      <c r="J507" s="98"/>
      <c r="K507" s="98"/>
      <c r="L507" s="98"/>
      <c r="M507" s="98"/>
      <c r="N507" s="98"/>
      <c r="O507" s="98"/>
      <c r="P507" s="98"/>
      <c r="Q507" s="98"/>
      <c r="R507" s="98"/>
      <c r="S507" s="98"/>
      <c r="T507" s="98"/>
      <c r="U507" s="98"/>
      <c r="V507" s="98"/>
      <c r="W507" s="98"/>
      <c r="X507" s="98"/>
      <c r="Y507" s="98"/>
      <c r="Z507" s="98"/>
      <c r="AA507" s="98"/>
      <c r="AB507" s="98"/>
      <c r="AC507" s="98"/>
    </row>
    <row r="508">
      <c r="A508" s="98"/>
      <c r="B508" s="98"/>
      <c r="C508" s="98"/>
      <c r="D508" s="98"/>
      <c r="E508" s="121"/>
      <c r="F508" s="98"/>
      <c r="G508" s="98"/>
      <c r="H508" s="98"/>
      <c r="I508" s="98"/>
      <c r="J508" s="98"/>
      <c r="K508" s="98"/>
      <c r="L508" s="98"/>
      <c r="M508" s="98"/>
      <c r="N508" s="98"/>
      <c r="O508" s="98"/>
      <c r="P508" s="98"/>
      <c r="Q508" s="98"/>
      <c r="R508" s="98"/>
      <c r="S508" s="98"/>
      <c r="T508" s="98"/>
      <c r="U508" s="98"/>
      <c r="V508" s="98"/>
      <c r="W508" s="98"/>
      <c r="X508" s="98"/>
      <c r="Y508" s="98"/>
      <c r="Z508" s="98"/>
      <c r="AA508" s="98"/>
      <c r="AB508" s="98"/>
      <c r="AC508" s="98"/>
    </row>
    <row r="509">
      <c r="A509" s="98"/>
      <c r="B509" s="98"/>
      <c r="C509" s="98"/>
      <c r="D509" s="98"/>
      <c r="E509" s="121"/>
      <c r="F509" s="98"/>
      <c r="G509" s="98"/>
      <c r="H509" s="98"/>
      <c r="I509" s="98"/>
      <c r="J509" s="98"/>
      <c r="K509" s="98"/>
      <c r="L509" s="98"/>
      <c r="M509" s="98"/>
      <c r="N509" s="98"/>
      <c r="O509" s="98"/>
      <c r="P509" s="98"/>
      <c r="Q509" s="98"/>
      <c r="R509" s="98"/>
      <c r="S509" s="98"/>
      <c r="T509" s="98"/>
      <c r="U509" s="98"/>
      <c r="V509" s="98"/>
      <c r="W509" s="98"/>
      <c r="X509" s="98"/>
      <c r="Y509" s="98"/>
      <c r="Z509" s="98"/>
      <c r="AA509" s="98"/>
      <c r="AB509" s="98"/>
      <c r="AC509" s="98"/>
    </row>
    <row r="510">
      <c r="A510" s="98"/>
      <c r="B510" s="98"/>
      <c r="C510" s="98"/>
      <c r="D510" s="98"/>
      <c r="E510" s="121"/>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row>
    <row r="511">
      <c r="A511" s="98"/>
      <c r="B511" s="98"/>
      <c r="C511" s="98"/>
      <c r="D511" s="98"/>
      <c r="E511" s="121"/>
      <c r="F511" s="98"/>
      <c r="G511" s="98"/>
      <c r="H511" s="98"/>
      <c r="I511" s="98"/>
      <c r="J511" s="98"/>
      <c r="K511" s="98"/>
      <c r="L511" s="98"/>
      <c r="M511" s="98"/>
      <c r="N511" s="98"/>
      <c r="O511" s="98"/>
      <c r="P511" s="98"/>
      <c r="Q511" s="98"/>
      <c r="R511" s="98"/>
      <c r="S511" s="98"/>
      <c r="T511" s="98"/>
      <c r="U511" s="98"/>
      <c r="V511" s="98"/>
      <c r="W511" s="98"/>
      <c r="X511" s="98"/>
      <c r="Y511" s="98"/>
      <c r="Z511" s="98"/>
      <c r="AA511" s="98"/>
      <c r="AB511" s="98"/>
      <c r="AC511" s="98"/>
    </row>
    <row r="512">
      <c r="A512" s="98"/>
      <c r="B512" s="98"/>
      <c r="C512" s="98"/>
      <c r="D512" s="98"/>
      <c r="E512" s="121"/>
      <c r="F512" s="98"/>
      <c r="G512" s="98"/>
      <c r="H512" s="98"/>
      <c r="I512" s="98"/>
      <c r="J512" s="98"/>
      <c r="K512" s="98"/>
      <c r="L512" s="98"/>
      <c r="M512" s="98"/>
      <c r="N512" s="98"/>
      <c r="O512" s="98"/>
      <c r="P512" s="98"/>
      <c r="Q512" s="98"/>
      <c r="R512" s="98"/>
      <c r="S512" s="98"/>
      <c r="T512" s="98"/>
      <c r="U512" s="98"/>
      <c r="V512" s="98"/>
      <c r="W512" s="98"/>
      <c r="X512" s="98"/>
      <c r="Y512" s="98"/>
      <c r="Z512" s="98"/>
      <c r="AA512" s="98"/>
      <c r="AB512" s="98"/>
      <c r="AC512" s="98"/>
    </row>
    <row r="513">
      <c r="A513" s="98"/>
      <c r="B513" s="98"/>
      <c r="C513" s="98"/>
      <c r="D513" s="98"/>
      <c r="E513" s="121"/>
      <c r="F513" s="98"/>
      <c r="G513" s="98"/>
      <c r="H513" s="98"/>
      <c r="I513" s="98"/>
      <c r="J513" s="98"/>
      <c r="K513" s="98"/>
      <c r="L513" s="98"/>
      <c r="M513" s="98"/>
      <c r="N513" s="98"/>
      <c r="O513" s="98"/>
      <c r="P513" s="98"/>
      <c r="Q513" s="98"/>
      <c r="R513" s="98"/>
      <c r="S513" s="98"/>
      <c r="T513" s="98"/>
      <c r="U513" s="98"/>
      <c r="V513" s="98"/>
      <c r="W513" s="98"/>
      <c r="X513" s="98"/>
      <c r="Y513" s="98"/>
      <c r="Z513" s="98"/>
      <c r="AA513" s="98"/>
      <c r="AB513" s="98"/>
      <c r="AC513" s="98"/>
    </row>
    <row r="514">
      <c r="A514" s="98"/>
      <c r="B514" s="98"/>
      <c r="C514" s="98"/>
      <c r="D514" s="98"/>
      <c r="E514" s="121"/>
      <c r="F514" s="98"/>
      <c r="G514" s="98"/>
      <c r="H514" s="98"/>
      <c r="I514" s="98"/>
      <c r="J514" s="98"/>
      <c r="K514" s="98"/>
      <c r="L514" s="98"/>
      <c r="M514" s="98"/>
      <c r="N514" s="98"/>
      <c r="O514" s="98"/>
      <c r="P514" s="98"/>
      <c r="Q514" s="98"/>
      <c r="R514" s="98"/>
      <c r="S514" s="98"/>
      <c r="T514" s="98"/>
      <c r="U514" s="98"/>
      <c r="V514" s="98"/>
      <c r="W514" s="98"/>
      <c r="X514" s="98"/>
      <c r="Y514" s="98"/>
      <c r="Z514" s="98"/>
      <c r="AA514" s="98"/>
      <c r="AB514" s="98"/>
      <c r="AC514" s="98"/>
    </row>
    <row r="515">
      <c r="A515" s="98"/>
      <c r="B515" s="98"/>
      <c r="C515" s="98"/>
      <c r="D515" s="98"/>
      <c r="E515" s="121"/>
      <c r="F515" s="98"/>
      <c r="G515" s="98"/>
      <c r="H515" s="98"/>
      <c r="I515" s="98"/>
      <c r="J515" s="98"/>
      <c r="K515" s="98"/>
      <c r="L515" s="98"/>
      <c r="M515" s="98"/>
      <c r="N515" s="98"/>
      <c r="O515" s="98"/>
      <c r="P515" s="98"/>
      <c r="Q515" s="98"/>
      <c r="R515" s="98"/>
      <c r="S515" s="98"/>
      <c r="T515" s="98"/>
      <c r="U515" s="98"/>
      <c r="V515" s="98"/>
      <c r="W515" s="98"/>
      <c r="X515" s="98"/>
      <c r="Y515" s="98"/>
      <c r="Z515" s="98"/>
      <c r="AA515" s="98"/>
      <c r="AB515" s="98"/>
      <c r="AC515" s="98"/>
    </row>
    <row r="516">
      <c r="A516" s="98"/>
      <c r="B516" s="98"/>
      <c r="C516" s="98"/>
      <c r="D516" s="98"/>
      <c r="E516" s="121"/>
      <c r="F516" s="98"/>
      <c r="G516" s="98"/>
      <c r="H516" s="98"/>
      <c r="I516" s="98"/>
      <c r="J516" s="98"/>
      <c r="K516" s="98"/>
      <c r="L516" s="98"/>
      <c r="M516" s="98"/>
      <c r="N516" s="98"/>
      <c r="O516" s="98"/>
      <c r="P516" s="98"/>
      <c r="Q516" s="98"/>
      <c r="R516" s="98"/>
      <c r="S516" s="98"/>
      <c r="T516" s="98"/>
      <c r="U516" s="98"/>
      <c r="V516" s="98"/>
      <c r="W516" s="98"/>
      <c r="X516" s="98"/>
      <c r="Y516" s="98"/>
      <c r="Z516" s="98"/>
      <c r="AA516" s="98"/>
      <c r="AB516" s="98"/>
      <c r="AC516" s="98"/>
    </row>
    <row r="517">
      <c r="A517" s="98"/>
      <c r="B517" s="98"/>
      <c r="C517" s="98"/>
      <c r="D517" s="98"/>
      <c r="E517" s="121"/>
      <c r="F517" s="98"/>
      <c r="G517" s="98"/>
      <c r="H517" s="98"/>
      <c r="I517" s="98"/>
      <c r="J517" s="98"/>
      <c r="K517" s="98"/>
      <c r="L517" s="98"/>
      <c r="M517" s="98"/>
      <c r="N517" s="98"/>
      <c r="O517" s="98"/>
      <c r="P517" s="98"/>
      <c r="Q517" s="98"/>
      <c r="R517" s="98"/>
      <c r="S517" s="98"/>
      <c r="T517" s="98"/>
      <c r="U517" s="98"/>
      <c r="V517" s="98"/>
      <c r="W517" s="98"/>
      <c r="X517" s="98"/>
      <c r="Y517" s="98"/>
      <c r="Z517" s="98"/>
      <c r="AA517" s="98"/>
      <c r="AB517" s="98"/>
      <c r="AC517" s="98"/>
    </row>
    <row r="518">
      <c r="A518" s="98"/>
      <c r="B518" s="98"/>
      <c r="C518" s="98"/>
      <c r="D518" s="98"/>
      <c r="E518" s="121"/>
      <c r="F518" s="98"/>
      <c r="G518" s="98"/>
      <c r="H518" s="98"/>
      <c r="I518" s="98"/>
      <c r="J518" s="98"/>
      <c r="K518" s="98"/>
      <c r="L518" s="98"/>
      <c r="M518" s="98"/>
      <c r="N518" s="98"/>
      <c r="O518" s="98"/>
      <c r="P518" s="98"/>
      <c r="Q518" s="98"/>
      <c r="R518" s="98"/>
      <c r="S518" s="98"/>
      <c r="T518" s="98"/>
      <c r="U518" s="98"/>
      <c r="V518" s="98"/>
      <c r="W518" s="98"/>
      <c r="X518" s="98"/>
      <c r="Y518" s="98"/>
      <c r="Z518" s="98"/>
      <c r="AA518" s="98"/>
      <c r="AB518" s="98"/>
      <c r="AC518" s="98"/>
    </row>
    <row r="519">
      <c r="A519" s="98"/>
      <c r="B519" s="98"/>
      <c r="C519" s="98"/>
      <c r="D519" s="98"/>
      <c r="E519" s="121"/>
      <c r="F519" s="98"/>
      <c r="G519" s="98"/>
      <c r="H519" s="98"/>
      <c r="I519" s="98"/>
      <c r="J519" s="98"/>
      <c r="K519" s="98"/>
      <c r="L519" s="98"/>
      <c r="M519" s="98"/>
      <c r="N519" s="98"/>
      <c r="O519" s="98"/>
      <c r="P519" s="98"/>
      <c r="Q519" s="98"/>
      <c r="R519" s="98"/>
      <c r="S519" s="98"/>
      <c r="T519" s="98"/>
      <c r="U519" s="98"/>
      <c r="V519" s="98"/>
      <c r="W519" s="98"/>
      <c r="X519" s="98"/>
      <c r="Y519" s="98"/>
      <c r="Z519" s="98"/>
      <c r="AA519" s="98"/>
      <c r="AB519" s="98"/>
      <c r="AC519" s="98"/>
    </row>
    <row r="520">
      <c r="A520" s="98"/>
      <c r="B520" s="98"/>
      <c r="C520" s="98"/>
      <c r="D520" s="98"/>
      <c r="E520" s="121"/>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row>
    <row r="521">
      <c r="A521" s="98"/>
      <c r="B521" s="98"/>
      <c r="C521" s="98"/>
      <c r="D521" s="98"/>
      <c r="E521" s="121"/>
      <c r="F521" s="98"/>
      <c r="G521" s="98"/>
      <c r="H521" s="98"/>
      <c r="I521" s="98"/>
      <c r="J521" s="98"/>
      <c r="K521" s="98"/>
      <c r="L521" s="98"/>
      <c r="M521" s="98"/>
      <c r="N521" s="98"/>
      <c r="O521" s="98"/>
      <c r="P521" s="98"/>
      <c r="Q521" s="98"/>
      <c r="R521" s="98"/>
      <c r="S521" s="98"/>
      <c r="T521" s="98"/>
      <c r="U521" s="98"/>
      <c r="V521" s="98"/>
      <c r="W521" s="98"/>
      <c r="X521" s="98"/>
      <c r="Y521" s="98"/>
      <c r="Z521" s="98"/>
      <c r="AA521" s="98"/>
      <c r="AB521" s="98"/>
      <c r="AC521" s="98"/>
    </row>
    <row r="522">
      <c r="A522" s="98"/>
      <c r="B522" s="98"/>
      <c r="C522" s="98"/>
      <c r="D522" s="98"/>
      <c r="E522" s="121"/>
      <c r="F522" s="98"/>
      <c r="G522" s="98"/>
      <c r="H522" s="98"/>
      <c r="I522" s="98"/>
      <c r="J522" s="98"/>
      <c r="K522" s="98"/>
      <c r="L522" s="98"/>
      <c r="M522" s="98"/>
      <c r="N522" s="98"/>
      <c r="O522" s="98"/>
      <c r="P522" s="98"/>
      <c r="Q522" s="98"/>
      <c r="R522" s="98"/>
      <c r="S522" s="98"/>
      <c r="T522" s="98"/>
      <c r="U522" s="98"/>
      <c r="V522" s="98"/>
      <c r="W522" s="98"/>
      <c r="X522" s="98"/>
      <c r="Y522" s="98"/>
      <c r="Z522" s="98"/>
      <c r="AA522" s="98"/>
      <c r="AB522" s="98"/>
      <c r="AC522" s="98"/>
    </row>
    <row r="523">
      <c r="A523" s="98"/>
      <c r="B523" s="98"/>
      <c r="C523" s="98"/>
      <c r="D523" s="98"/>
      <c r="E523" s="121"/>
      <c r="F523" s="98"/>
      <c r="G523" s="98"/>
      <c r="H523" s="98"/>
      <c r="I523" s="98"/>
      <c r="J523" s="98"/>
      <c r="K523" s="98"/>
      <c r="L523" s="98"/>
      <c r="M523" s="98"/>
      <c r="N523" s="98"/>
      <c r="O523" s="98"/>
      <c r="P523" s="98"/>
      <c r="Q523" s="98"/>
      <c r="R523" s="98"/>
      <c r="S523" s="98"/>
      <c r="T523" s="98"/>
      <c r="U523" s="98"/>
      <c r="V523" s="98"/>
      <c r="W523" s="98"/>
      <c r="X523" s="98"/>
      <c r="Y523" s="98"/>
      <c r="Z523" s="98"/>
      <c r="AA523" s="98"/>
      <c r="AB523" s="98"/>
      <c r="AC523" s="98"/>
    </row>
    <row r="524">
      <c r="A524" s="98"/>
      <c r="B524" s="98"/>
      <c r="C524" s="98"/>
      <c r="D524" s="98"/>
      <c r="E524" s="121"/>
      <c r="F524" s="98"/>
      <c r="G524" s="98"/>
      <c r="H524" s="98"/>
      <c r="I524" s="98"/>
      <c r="J524" s="98"/>
      <c r="K524" s="98"/>
      <c r="L524" s="98"/>
      <c r="M524" s="98"/>
      <c r="N524" s="98"/>
      <c r="O524" s="98"/>
      <c r="P524" s="98"/>
      <c r="Q524" s="98"/>
      <c r="R524" s="98"/>
      <c r="S524" s="98"/>
      <c r="T524" s="98"/>
      <c r="U524" s="98"/>
      <c r="V524" s="98"/>
      <c r="W524" s="98"/>
      <c r="X524" s="98"/>
      <c r="Y524" s="98"/>
      <c r="Z524" s="98"/>
      <c r="AA524" s="98"/>
      <c r="AB524" s="98"/>
      <c r="AC524" s="98"/>
    </row>
    <row r="525">
      <c r="A525" s="98"/>
      <c r="B525" s="98"/>
      <c r="C525" s="98"/>
      <c r="D525" s="98"/>
      <c r="E525" s="121"/>
      <c r="F525" s="98"/>
      <c r="G525" s="98"/>
      <c r="H525" s="98"/>
      <c r="I525" s="98"/>
      <c r="J525" s="98"/>
      <c r="K525" s="98"/>
      <c r="L525" s="98"/>
      <c r="M525" s="98"/>
      <c r="N525" s="98"/>
      <c r="O525" s="98"/>
      <c r="P525" s="98"/>
      <c r="Q525" s="98"/>
      <c r="R525" s="98"/>
      <c r="S525" s="98"/>
      <c r="T525" s="98"/>
      <c r="U525" s="98"/>
      <c r="V525" s="98"/>
      <c r="W525" s="98"/>
      <c r="X525" s="98"/>
      <c r="Y525" s="98"/>
      <c r="Z525" s="98"/>
      <c r="AA525" s="98"/>
      <c r="AB525" s="98"/>
      <c r="AC525" s="98"/>
    </row>
    <row r="526">
      <c r="A526" s="98"/>
      <c r="B526" s="98"/>
      <c r="C526" s="98"/>
      <c r="D526" s="98"/>
      <c r="E526" s="121"/>
      <c r="F526" s="98"/>
      <c r="G526" s="98"/>
      <c r="H526" s="98"/>
      <c r="I526" s="98"/>
      <c r="J526" s="98"/>
      <c r="K526" s="98"/>
      <c r="L526" s="98"/>
      <c r="M526" s="98"/>
      <c r="N526" s="98"/>
      <c r="O526" s="98"/>
      <c r="P526" s="98"/>
      <c r="Q526" s="98"/>
      <c r="R526" s="98"/>
      <c r="S526" s="98"/>
      <c r="T526" s="98"/>
      <c r="U526" s="98"/>
      <c r="V526" s="98"/>
      <c r="W526" s="98"/>
      <c r="X526" s="98"/>
      <c r="Y526" s="98"/>
      <c r="Z526" s="98"/>
      <c r="AA526" s="98"/>
      <c r="AB526" s="98"/>
      <c r="AC526" s="98"/>
    </row>
    <row r="527">
      <c r="A527" s="98"/>
      <c r="B527" s="98"/>
      <c r="C527" s="98"/>
      <c r="D527" s="98"/>
      <c r="E527" s="121"/>
      <c r="F527" s="98"/>
      <c r="G527" s="98"/>
      <c r="H527" s="98"/>
      <c r="I527" s="98"/>
      <c r="J527" s="98"/>
      <c r="K527" s="98"/>
      <c r="L527" s="98"/>
      <c r="M527" s="98"/>
      <c r="N527" s="98"/>
      <c r="O527" s="98"/>
      <c r="P527" s="98"/>
      <c r="Q527" s="98"/>
      <c r="R527" s="98"/>
      <c r="S527" s="98"/>
      <c r="T527" s="98"/>
      <c r="U527" s="98"/>
      <c r="V527" s="98"/>
      <c r="W527" s="98"/>
      <c r="X527" s="98"/>
      <c r="Y527" s="98"/>
      <c r="Z527" s="98"/>
      <c r="AA527" s="98"/>
      <c r="AB527" s="98"/>
      <c r="AC527" s="98"/>
    </row>
    <row r="528">
      <c r="A528" s="98"/>
      <c r="B528" s="98"/>
      <c r="C528" s="98"/>
      <c r="D528" s="98"/>
      <c r="E528" s="121"/>
      <c r="F528" s="98"/>
      <c r="G528" s="98"/>
      <c r="H528" s="98"/>
      <c r="I528" s="98"/>
      <c r="J528" s="98"/>
      <c r="K528" s="98"/>
      <c r="L528" s="98"/>
      <c r="M528" s="98"/>
      <c r="N528" s="98"/>
      <c r="O528" s="98"/>
      <c r="P528" s="98"/>
      <c r="Q528" s="98"/>
      <c r="R528" s="98"/>
      <c r="S528" s="98"/>
      <c r="T528" s="98"/>
      <c r="U528" s="98"/>
      <c r="V528" s="98"/>
      <c r="W528" s="98"/>
      <c r="X528" s="98"/>
      <c r="Y528" s="98"/>
      <c r="Z528" s="98"/>
      <c r="AA528" s="98"/>
      <c r="AB528" s="98"/>
      <c r="AC528" s="98"/>
    </row>
    <row r="529">
      <c r="A529" s="98"/>
      <c r="B529" s="98"/>
      <c r="C529" s="98"/>
      <c r="D529" s="98"/>
      <c r="E529" s="121"/>
      <c r="F529" s="98"/>
      <c r="G529" s="98"/>
      <c r="H529" s="98"/>
      <c r="I529" s="98"/>
      <c r="J529" s="98"/>
      <c r="K529" s="98"/>
      <c r="L529" s="98"/>
      <c r="M529" s="98"/>
      <c r="N529" s="98"/>
      <c r="O529" s="98"/>
      <c r="P529" s="98"/>
      <c r="Q529" s="98"/>
      <c r="R529" s="98"/>
      <c r="S529" s="98"/>
      <c r="T529" s="98"/>
      <c r="U529" s="98"/>
      <c r="V529" s="98"/>
      <c r="W529" s="98"/>
      <c r="X529" s="98"/>
      <c r="Y529" s="98"/>
      <c r="Z529" s="98"/>
      <c r="AA529" s="98"/>
      <c r="AB529" s="98"/>
      <c r="AC529" s="98"/>
    </row>
    <row r="530">
      <c r="A530" s="98"/>
      <c r="B530" s="98"/>
      <c r="C530" s="98"/>
      <c r="D530" s="98"/>
      <c r="E530" s="121"/>
      <c r="F530" s="98"/>
      <c r="G530" s="98"/>
      <c r="H530" s="98"/>
      <c r="I530" s="98"/>
      <c r="J530" s="98"/>
      <c r="K530" s="98"/>
      <c r="L530" s="98"/>
      <c r="M530" s="98"/>
      <c r="N530" s="98"/>
      <c r="O530" s="98"/>
      <c r="P530" s="98"/>
      <c r="Q530" s="98"/>
      <c r="R530" s="98"/>
      <c r="S530" s="98"/>
      <c r="T530" s="98"/>
      <c r="U530" s="98"/>
      <c r="V530" s="98"/>
      <c r="W530" s="98"/>
      <c r="X530" s="98"/>
      <c r="Y530" s="98"/>
      <c r="Z530" s="98"/>
      <c r="AA530" s="98"/>
      <c r="AB530" s="98"/>
      <c r="AC530" s="98"/>
    </row>
    <row r="531">
      <c r="A531" s="98"/>
      <c r="B531" s="98"/>
      <c r="C531" s="98"/>
      <c r="D531" s="98"/>
      <c r="E531" s="121"/>
      <c r="F531" s="98"/>
      <c r="G531" s="98"/>
      <c r="H531" s="98"/>
      <c r="I531" s="98"/>
      <c r="J531" s="98"/>
      <c r="K531" s="98"/>
      <c r="L531" s="98"/>
      <c r="M531" s="98"/>
      <c r="N531" s="98"/>
      <c r="O531" s="98"/>
      <c r="P531" s="98"/>
      <c r="Q531" s="98"/>
      <c r="R531" s="98"/>
      <c r="S531" s="98"/>
      <c r="T531" s="98"/>
      <c r="U531" s="98"/>
      <c r="V531" s="98"/>
      <c r="W531" s="98"/>
      <c r="X531" s="98"/>
      <c r="Y531" s="98"/>
      <c r="Z531" s="98"/>
      <c r="AA531" s="98"/>
      <c r="AB531" s="98"/>
      <c r="AC531" s="98"/>
    </row>
    <row r="532">
      <c r="A532" s="98"/>
      <c r="B532" s="98"/>
      <c r="C532" s="98"/>
      <c r="D532" s="98"/>
      <c r="E532" s="121"/>
      <c r="F532" s="98"/>
      <c r="G532" s="98"/>
      <c r="H532" s="98"/>
      <c r="I532" s="98"/>
      <c r="J532" s="98"/>
      <c r="K532" s="98"/>
      <c r="L532" s="98"/>
      <c r="M532" s="98"/>
      <c r="N532" s="98"/>
      <c r="O532" s="98"/>
      <c r="P532" s="98"/>
      <c r="Q532" s="98"/>
      <c r="R532" s="98"/>
      <c r="S532" s="98"/>
      <c r="T532" s="98"/>
      <c r="U532" s="98"/>
      <c r="V532" s="98"/>
      <c r="W532" s="98"/>
      <c r="X532" s="98"/>
      <c r="Y532" s="98"/>
      <c r="Z532" s="98"/>
      <c r="AA532" s="98"/>
      <c r="AB532" s="98"/>
      <c r="AC532" s="98"/>
    </row>
    <row r="533">
      <c r="A533" s="98"/>
      <c r="B533" s="98"/>
      <c r="C533" s="98"/>
      <c r="D533" s="98"/>
      <c r="E533" s="121"/>
      <c r="F533" s="98"/>
      <c r="G533" s="98"/>
      <c r="H533" s="98"/>
      <c r="I533" s="98"/>
      <c r="J533" s="98"/>
      <c r="K533" s="98"/>
      <c r="L533" s="98"/>
      <c r="M533" s="98"/>
      <c r="N533" s="98"/>
      <c r="O533" s="98"/>
      <c r="P533" s="98"/>
      <c r="Q533" s="98"/>
      <c r="R533" s="98"/>
      <c r="S533" s="98"/>
      <c r="T533" s="98"/>
      <c r="U533" s="98"/>
      <c r="V533" s="98"/>
      <c r="W533" s="98"/>
      <c r="X533" s="98"/>
      <c r="Y533" s="98"/>
      <c r="Z533" s="98"/>
      <c r="AA533" s="98"/>
      <c r="AB533" s="98"/>
      <c r="AC533" s="98"/>
    </row>
    <row r="534">
      <c r="A534" s="98"/>
      <c r="B534" s="98"/>
      <c r="C534" s="98"/>
      <c r="D534" s="98"/>
      <c r="E534" s="121"/>
      <c r="F534" s="98"/>
      <c r="G534" s="98"/>
      <c r="H534" s="98"/>
      <c r="I534" s="98"/>
      <c r="J534" s="98"/>
      <c r="K534" s="98"/>
      <c r="L534" s="98"/>
      <c r="M534" s="98"/>
      <c r="N534" s="98"/>
      <c r="O534" s="98"/>
      <c r="P534" s="98"/>
      <c r="Q534" s="98"/>
      <c r="R534" s="98"/>
      <c r="S534" s="98"/>
      <c r="T534" s="98"/>
      <c r="U534" s="98"/>
      <c r="V534" s="98"/>
      <c r="W534" s="98"/>
      <c r="X534" s="98"/>
      <c r="Y534" s="98"/>
      <c r="Z534" s="98"/>
      <c r="AA534" s="98"/>
      <c r="AB534" s="98"/>
      <c r="AC534" s="98"/>
    </row>
    <row r="535">
      <c r="A535" s="98"/>
      <c r="B535" s="98"/>
      <c r="C535" s="98"/>
      <c r="D535" s="98"/>
      <c r="E535" s="121"/>
      <c r="F535" s="98"/>
      <c r="G535" s="98"/>
      <c r="H535" s="98"/>
      <c r="I535" s="98"/>
      <c r="J535" s="98"/>
      <c r="K535" s="98"/>
      <c r="L535" s="98"/>
      <c r="M535" s="98"/>
      <c r="N535" s="98"/>
      <c r="O535" s="98"/>
      <c r="P535" s="98"/>
      <c r="Q535" s="98"/>
      <c r="R535" s="98"/>
      <c r="S535" s="98"/>
      <c r="T535" s="98"/>
      <c r="U535" s="98"/>
      <c r="V535" s="98"/>
      <c r="W535" s="98"/>
      <c r="X535" s="98"/>
      <c r="Y535" s="98"/>
      <c r="Z535" s="98"/>
      <c r="AA535" s="98"/>
      <c r="AB535" s="98"/>
      <c r="AC535" s="98"/>
    </row>
    <row r="536">
      <c r="A536" s="98"/>
      <c r="B536" s="98"/>
      <c r="C536" s="98"/>
      <c r="D536" s="98"/>
      <c r="E536" s="121"/>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row>
    <row r="537">
      <c r="A537" s="98"/>
      <c r="B537" s="98"/>
      <c r="C537" s="98"/>
      <c r="D537" s="98"/>
      <c r="E537" s="121"/>
      <c r="F537" s="98"/>
      <c r="G537" s="98"/>
      <c r="H537" s="98"/>
      <c r="I537" s="98"/>
      <c r="J537" s="98"/>
      <c r="K537" s="98"/>
      <c r="L537" s="98"/>
      <c r="M537" s="98"/>
      <c r="N537" s="98"/>
      <c r="O537" s="98"/>
      <c r="P537" s="98"/>
      <c r="Q537" s="98"/>
      <c r="R537" s="98"/>
      <c r="S537" s="98"/>
      <c r="T537" s="98"/>
      <c r="U537" s="98"/>
      <c r="V537" s="98"/>
      <c r="W537" s="98"/>
      <c r="X537" s="98"/>
      <c r="Y537" s="98"/>
      <c r="Z537" s="98"/>
      <c r="AA537" s="98"/>
      <c r="AB537" s="98"/>
      <c r="AC537" s="98"/>
    </row>
    <row r="538">
      <c r="A538" s="98"/>
      <c r="B538" s="98"/>
      <c r="C538" s="98"/>
      <c r="D538" s="98"/>
      <c r="E538" s="121"/>
      <c r="F538" s="98"/>
      <c r="G538" s="98"/>
      <c r="H538" s="98"/>
      <c r="I538" s="98"/>
      <c r="J538" s="98"/>
      <c r="K538" s="98"/>
      <c r="L538" s="98"/>
      <c r="M538" s="98"/>
      <c r="N538" s="98"/>
      <c r="O538" s="98"/>
      <c r="P538" s="98"/>
      <c r="Q538" s="98"/>
      <c r="R538" s="98"/>
      <c r="S538" s="98"/>
      <c r="T538" s="98"/>
      <c r="U538" s="98"/>
      <c r="V538" s="98"/>
      <c r="W538" s="98"/>
      <c r="X538" s="98"/>
      <c r="Y538" s="98"/>
      <c r="Z538" s="98"/>
      <c r="AA538" s="98"/>
      <c r="AB538" s="98"/>
      <c r="AC538" s="98"/>
    </row>
    <row r="539">
      <c r="A539" s="98"/>
      <c r="B539" s="98"/>
      <c r="C539" s="98"/>
      <c r="D539" s="98"/>
      <c r="E539" s="121"/>
      <c r="F539" s="98"/>
      <c r="G539" s="98"/>
      <c r="H539" s="98"/>
      <c r="I539" s="98"/>
      <c r="J539" s="98"/>
      <c r="K539" s="98"/>
      <c r="L539" s="98"/>
      <c r="M539" s="98"/>
      <c r="N539" s="98"/>
      <c r="O539" s="98"/>
      <c r="P539" s="98"/>
      <c r="Q539" s="98"/>
      <c r="R539" s="98"/>
      <c r="S539" s="98"/>
      <c r="T539" s="98"/>
      <c r="U539" s="98"/>
      <c r="V539" s="98"/>
      <c r="W539" s="98"/>
      <c r="X539" s="98"/>
      <c r="Y539" s="98"/>
      <c r="Z539" s="98"/>
      <c r="AA539" s="98"/>
      <c r="AB539" s="98"/>
      <c r="AC539" s="98"/>
    </row>
    <row r="540">
      <c r="A540" s="98"/>
      <c r="B540" s="98"/>
      <c r="C540" s="98"/>
      <c r="D540" s="98"/>
      <c r="E540" s="121"/>
      <c r="F540" s="98"/>
      <c r="G540" s="98"/>
      <c r="H540" s="98"/>
      <c r="I540" s="98"/>
      <c r="J540" s="98"/>
      <c r="K540" s="98"/>
      <c r="L540" s="98"/>
      <c r="M540" s="98"/>
      <c r="N540" s="98"/>
      <c r="O540" s="98"/>
      <c r="P540" s="98"/>
      <c r="Q540" s="98"/>
      <c r="R540" s="98"/>
      <c r="S540" s="98"/>
      <c r="T540" s="98"/>
      <c r="U540" s="98"/>
      <c r="V540" s="98"/>
      <c r="W540" s="98"/>
      <c r="X540" s="98"/>
      <c r="Y540" s="98"/>
      <c r="Z540" s="98"/>
      <c r="AA540" s="98"/>
      <c r="AB540" s="98"/>
      <c r="AC540" s="98"/>
    </row>
    <row r="541">
      <c r="A541" s="98"/>
      <c r="B541" s="98"/>
      <c r="C541" s="98"/>
      <c r="D541" s="98"/>
      <c r="E541" s="121"/>
      <c r="F541" s="98"/>
      <c r="G541" s="98"/>
      <c r="H541" s="98"/>
      <c r="I541" s="98"/>
      <c r="J541" s="98"/>
      <c r="K541" s="98"/>
      <c r="L541" s="98"/>
      <c r="M541" s="98"/>
      <c r="N541" s="98"/>
      <c r="O541" s="98"/>
      <c r="P541" s="98"/>
      <c r="Q541" s="98"/>
      <c r="R541" s="98"/>
      <c r="S541" s="98"/>
      <c r="T541" s="98"/>
      <c r="U541" s="98"/>
      <c r="V541" s="98"/>
      <c r="W541" s="98"/>
      <c r="X541" s="98"/>
      <c r="Y541" s="98"/>
      <c r="Z541" s="98"/>
      <c r="AA541" s="98"/>
      <c r="AB541" s="98"/>
      <c r="AC541" s="98"/>
    </row>
    <row r="542">
      <c r="A542" s="98"/>
      <c r="B542" s="98"/>
      <c r="C542" s="98"/>
      <c r="D542" s="98"/>
      <c r="E542" s="121"/>
      <c r="F542" s="98"/>
      <c r="G542" s="98"/>
      <c r="H542" s="98"/>
      <c r="I542" s="98"/>
      <c r="J542" s="98"/>
      <c r="K542" s="98"/>
      <c r="L542" s="98"/>
      <c r="M542" s="98"/>
      <c r="N542" s="98"/>
      <c r="O542" s="98"/>
      <c r="P542" s="98"/>
      <c r="Q542" s="98"/>
      <c r="R542" s="98"/>
      <c r="S542" s="98"/>
      <c r="T542" s="98"/>
      <c r="U542" s="98"/>
      <c r="V542" s="98"/>
      <c r="W542" s="98"/>
      <c r="X542" s="98"/>
      <c r="Y542" s="98"/>
      <c r="Z542" s="98"/>
      <c r="AA542" s="98"/>
      <c r="AB542" s="98"/>
      <c r="AC542" s="98"/>
    </row>
    <row r="543">
      <c r="A543" s="98"/>
      <c r="B543" s="98"/>
      <c r="C543" s="98"/>
      <c r="D543" s="98"/>
      <c r="E543" s="121"/>
      <c r="F543" s="98"/>
      <c r="G543" s="98"/>
      <c r="H543" s="98"/>
      <c r="I543" s="98"/>
      <c r="J543" s="98"/>
      <c r="K543" s="98"/>
      <c r="L543" s="98"/>
      <c r="M543" s="98"/>
      <c r="N543" s="98"/>
      <c r="O543" s="98"/>
      <c r="P543" s="98"/>
      <c r="Q543" s="98"/>
      <c r="R543" s="98"/>
      <c r="S543" s="98"/>
      <c r="T543" s="98"/>
      <c r="U543" s="98"/>
      <c r="V543" s="98"/>
      <c r="W543" s="98"/>
      <c r="X543" s="98"/>
      <c r="Y543" s="98"/>
      <c r="Z543" s="98"/>
      <c r="AA543" s="98"/>
      <c r="AB543" s="98"/>
      <c r="AC543" s="98"/>
    </row>
    <row r="544">
      <c r="A544" s="98"/>
      <c r="B544" s="98"/>
      <c r="C544" s="98"/>
      <c r="D544" s="98"/>
      <c r="E544" s="121"/>
      <c r="F544" s="98"/>
      <c r="G544" s="98"/>
      <c r="H544" s="98"/>
      <c r="I544" s="98"/>
      <c r="J544" s="98"/>
      <c r="K544" s="98"/>
      <c r="L544" s="98"/>
      <c r="M544" s="98"/>
      <c r="N544" s="98"/>
      <c r="O544" s="98"/>
      <c r="P544" s="98"/>
      <c r="Q544" s="98"/>
      <c r="R544" s="98"/>
      <c r="S544" s="98"/>
      <c r="T544" s="98"/>
      <c r="U544" s="98"/>
      <c r="V544" s="98"/>
      <c r="W544" s="98"/>
      <c r="X544" s="98"/>
      <c r="Y544" s="98"/>
      <c r="Z544" s="98"/>
      <c r="AA544" s="98"/>
      <c r="AB544" s="98"/>
      <c r="AC544" s="98"/>
    </row>
    <row r="545">
      <c r="A545" s="98"/>
      <c r="B545" s="98"/>
      <c r="C545" s="98"/>
      <c r="D545" s="98"/>
      <c r="E545" s="121"/>
      <c r="F545" s="98"/>
      <c r="G545" s="98"/>
      <c r="H545" s="98"/>
      <c r="I545" s="98"/>
      <c r="J545" s="98"/>
      <c r="K545" s="98"/>
      <c r="L545" s="98"/>
      <c r="M545" s="98"/>
      <c r="N545" s="98"/>
      <c r="O545" s="98"/>
      <c r="P545" s="98"/>
      <c r="Q545" s="98"/>
      <c r="R545" s="98"/>
      <c r="S545" s="98"/>
      <c r="T545" s="98"/>
      <c r="U545" s="98"/>
      <c r="V545" s="98"/>
      <c r="W545" s="98"/>
      <c r="X545" s="98"/>
      <c r="Y545" s="98"/>
      <c r="Z545" s="98"/>
      <c r="AA545" s="98"/>
      <c r="AB545" s="98"/>
      <c r="AC545" s="98"/>
    </row>
    <row r="546">
      <c r="A546" s="98"/>
      <c r="B546" s="98"/>
      <c r="C546" s="98"/>
      <c r="D546" s="98"/>
      <c r="E546" s="121"/>
      <c r="F546" s="98"/>
      <c r="G546" s="98"/>
      <c r="H546" s="98"/>
      <c r="I546" s="98"/>
      <c r="J546" s="98"/>
      <c r="K546" s="98"/>
      <c r="L546" s="98"/>
      <c r="M546" s="98"/>
      <c r="N546" s="98"/>
      <c r="O546" s="98"/>
      <c r="P546" s="98"/>
      <c r="Q546" s="98"/>
      <c r="R546" s="98"/>
      <c r="S546" s="98"/>
      <c r="T546" s="98"/>
      <c r="U546" s="98"/>
      <c r="V546" s="98"/>
      <c r="W546" s="98"/>
      <c r="X546" s="98"/>
      <c r="Y546" s="98"/>
      <c r="Z546" s="98"/>
      <c r="AA546" s="98"/>
      <c r="AB546" s="98"/>
      <c r="AC546" s="98"/>
    </row>
    <row r="547">
      <c r="A547" s="98"/>
      <c r="B547" s="98"/>
      <c r="C547" s="98"/>
      <c r="D547" s="98"/>
      <c r="E547" s="121"/>
      <c r="F547" s="98"/>
      <c r="G547" s="98"/>
      <c r="H547" s="98"/>
      <c r="I547" s="98"/>
      <c r="J547" s="98"/>
      <c r="K547" s="98"/>
      <c r="L547" s="98"/>
      <c r="M547" s="98"/>
      <c r="N547" s="98"/>
      <c r="O547" s="98"/>
      <c r="P547" s="98"/>
      <c r="Q547" s="98"/>
      <c r="R547" s="98"/>
      <c r="S547" s="98"/>
      <c r="T547" s="98"/>
      <c r="U547" s="98"/>
      <c r="V547" s="98"/>
      <c r="W547" s="98"/>
      <c r="X547" s="98"/>
      <c r="Y547" s="98"/>
      <c r="Z547" s="98"/>
      <c r="AA547" s="98"/>
      <c r="AB547" s="98"/>
      <c r="AC547" s="98"/>
    </row>
    <row r="548">
      <c r="A548" s="98"/>
      <c r="B548" s="98"/>
      <c r="C548" s="98"/>
      <c r="D548" s="98"/>
      <c r="E548" s="121"/>
      <c r="F548" s="98"/>
      <c r="G548" s="98"/>
      <c r="H548" s="98"/>
      <c r="I548" s="98"/>
      <c r="J548" s="98"/>
      <c r="K548" s="98"/>
      <c r="L548" s="98"/>
      <c r="M548" s="98"/>
      <c r="N548" s="98"/>
      <c r="O548" s="98"/>
      <c r="P548" s="98"/>
      <c r="Q548" s="98"/>
      <c r="R548" s="98"/>
      <c r="S548" s="98"/>
      <c r="T548" s="98"/>
      <c r="U548" s="98"/>
      <c r="V548" s="98"/>
      <c r="W548" s="98"/>
      <c r="X548" s="98"/>
      <c r="Y548" s="98"/>
      <c r="Z548" s="98"/>
      <c r="AA548" s="98"/>
      <c r="AB548" s="98"/>
      <c r="AC548" s="98"/>
    </row>
    <row r="549">
      <c r="A549" s="98"/>
      <c r="B549" s="98"/>
      <c r="C549" s="98"/>
      <c r="D549" s="98"/>
      <c r="E549" s="121"/>
      <c r="F549" s="98"/>
      <c r="G549" s="98"/>
      <c r="H549" s="98"/>
      <c r="I549" s="98"/>
      <c r="J549" s="98"/>
      <c r="K549" s="98"/>
      <c r="L549" s="98"/>
      <c r="M549" s="98"/>
      <c r="N549" s="98"/>
      <c r="O549" s="98"/>
      <c r="P549" s="98"/>
      <c r="Q549" s="98"/>
      <c r="R549" s="98"/>
      <c r="S549" s="98"/>
      <c r="T549" s="98"/>
      <c r="U549" s="98"/>
      <c r="V549" s="98"/>
      <c r="W549" s="98"/>
      <c r="X549" s="98"/>
      <c r="Y549" s="98"/>
      <c r="Z549" s="98"/>
      <c r="AA549" s="98"/>
      <c r="AB549" s="98"/>
      <c r="AC549" s="98"/>
    </row>
    <row r="550">
      <c r="A550" s="98"/>
      <c r="B550" s="98"/>
      <c r="C550" s="98"/>
      <c r="D550" s="98"/>
      <c r="E550" s="121"/>
      <c r="F550" s="98"/>
      <c r="G550" s="98"/>
      <c r="H550" s="98"/>
      <c r="I550" s="98"/>
      <c r="J550" s="98"/>
      <c r="K550" s="98"/>
      <c r="L550" s="98"/>
      <c r="M550" s="98"/>
      <c r="N550" s="98"/>
      <c r="O550" s="98"/>
      <c r="P550" s="98"/>
      <c r="Q550" s="98"/>
      <c r="R550" s="98"/>
      <c r="S550" s="98"/>
      <c r="T550" s="98"/>
      <c r="U550" s="98"/>
      <c r="V550" s="98"/>
      <c r="W550" s="98"/>
      <c r="X550" s="98"/>
      <c r="Y550" s="98"/>
      <c r="Z550" s="98"/>
      <c r="AA550" s="98"/>
      <c r="AB550" s="98"/>
      <c r="AC550" s="98"/>
    </row>
    <row r="551">
      <c r="A551" s="98"/>
      <c r="B551" s="98"/>
      <c r="C551" s="98"/>
      <c r="D551" s="98"/>
      <c r="E551" s="121"/>
      <c r="F551" s="98"/>
      <c r="G551" s="98"/>
      <c r="H551" s="98"/>
      <c r="I551" s="98"/>
      <c r="J551" s="98"/>
      <c r="K551" s="98"/>
      <c r="L551" s="98"/>
      <c r="M551" s="98"/>
      <c r="N551" s="98"/>
      <c r="O551" s="98"/>
      <c r="P551" s="98"/>
      <c r="Q551" s="98"/>
      <c r="R551" s="98"/>
      <c r="S551" s="98"/>
      <c r="T551" s="98"/>
      <c r="U551" s="98"/>
      <c r="V551" s="98"/>
      <c r="W551" s="98"/>
      <c r="X551" s="98"/>
      <c r="Y551" s="98"/>
      <c r="Z551" s="98"/>
      <c r="AA551" s="98"/>
      <c r="AB551" s="98"/>
      <c r="AC551" s="98"/>
    </row>
    <row r="552">
      <c r="A552" s="98"/>
      <c r="B552" s="98"/>
      <c r="C552" s="98"/>
      <c r="D552" s="98"/>
      <c r="E552" s="121"/>
      <c r="F552" s="98"/>
      <c r="G552" s="98"/>
      <c r="H552" s="98"/>
      <c r="I552" s="98"/>
      <c r="J552" s="98"/>
      <c r="K552" s="98"/>
      <c r="L552" s="98"/>
      <c r="M552" s="98"/>
      <c r="N552" s="98"/>
      <c r="O552" s="98"/>
      <c r="P552" s="98"/>
      <c r="Q552" s="98"/>
      <c r="R552" s="98"/>
      <c r="S552" s="98"/>
      <c r="T552" s="98"/>
      <c r="U552" s="98"/>
      <c r="V552" s="98"/>
      <c r="W552" s="98"/>
      <c r="X552" s="98"/>
      <c r="Y552" s="98"/>
      <c r="Z552" s="98"/>
      <c r="AA552" s="98"/>
      <c r="AB552" s="98"/>
      <c r="AC552" s="98"/>
    </row>
    <row r="553">
      <c r="A553" s="98"/>
      <c r="B553" s="98"/>
      <c r="C553" s="98"/>
      <c r="D553" s="98"/>
      <c r="E553" s="121"/>
      <c r="F553" s="98"/>
      <c r="G553" s="98"/>
      <c r="H553" s="98"/>
      <c r="I553" s="98"/>
      <c r="J553" s="98"/>
      <c r="K553" s="98"/>
      <c r="L553" s="98"/>
      <c r="M553" s="98"/>
      <c r="N553" s="98"/>
      <c r="O553" s="98"/>
      <c r="P553" s="98"/>
      <c r="Q553" s="98"/>
      <c r="R553" s="98"/>
      <c r="S553" s="98"/>
      <c r="T553" s="98"/>
      <c r="U553" s="98"/>
      <c r="V553" s="98"/>
      <c r="W553" s="98"/>
      <c r="X553" s="98"/>
      <c r="Y553" s="98"/>
      <c r="Z553" s="98"/>
      <c r="AA553" s="98"/>
      <c r="AB553" s="98"/>
      <c r="AC553" s="98"/>
    </row>
    <row r="554">
      <c r="A554" s="98"/>
      <c r="B554" s="98"/>
      <c r="C554" s="98"/>
      <c r="D554" s="98"/>
      <c r="E554" s="121"/>
      <c r="F554" s="98"/>
      <c r="G554" s="98"/>
      <c r="H554" s="98"/>
      <c r="I554" s="98"/>
      <c r="J554" s="98"/>
      <c r="K554" s="98"/>
      <c r="L554" s="98"/>
      <c r="M554" s="98"/>
      <c r="N554" s="98"/>
      <c r="O554" s="98"/>
      <c r="P554" s="98"/>
      <c r="Q554" s="98"/>
      <c r="R554" s="98"/>
      <c r="S554" s="98"/>
      <c r="T554" s="98"/>
      <c r="U554" s="98"/>
      <c r="V554" s="98"/>
      <c r="W554" s="98"/>
      <c r="X554" s="98"/>
      <c r="Y554" s="98"/>
      <c r="Z554" s="98"/>
      <c r="AA554" s="98"/>
      <c r="AB554" s="98"/>
      <c r="AC554" s="98"/>
    </row>
    <row r="555">
      <c r="A555" s="98"/>
      <c r="B555" s="98"/>
      <c r="C555" s="98"/>
      <c r="D555" s="98"/>
      <c r="E555" s="121"/>
      <c r="F555" s="98"/>
      <c r="G555" s="98"/>
      <c r="H555" s="98"/>
      <c r="I555" s="98"/>
      <c r="J555" s="98"/>
      <c r="K555" s="98"/>
      <c r="L555" s="98"/>
      <c r="M555" s="98"/>
      <c r="N555" s="98"/>
      <c r="O555" s="98"/>
      <c r="P555" s="98"/>
      <c r="Q555" s="98"/>
      <c r="R555" s="98"/>
      <c r="S555" s="98"/>
      <c r="T555" s="98"/>
      <c r="U555" s="98"/>
      <c r="V555" s="98"/>
      <c r="W555" s="98"/>
      <c r="X555" s="98"/>
      <c r="Y555" s="98"/>
      <c r="Z555" s="98"/>
      <c r="AA555" s="98"/>
      <c r="AB555" s="98"/>
      <c r="AC555" s="98"/>
    </row>
    <row r="556">
      <c r="A556" s="98"/>
      <c r="B556" s="98"/>
      <c r="C556" s="98"/>
      <c r="D556" s="98"/>
      <c r="E556" s="121"/>
      <c r="F556" s="98"/>
      <c r="G556" s="98"/>
      <c r="H556" s="98"/>
      <c r="I556" s="98"/>
      <c r="J556" s="98"/>
      <c r="K556" s="98"/>
      <c r="L556" s="98"/>
      <c r="M556" s="98"/>
      <c r="N556" s="98"/>
      <c r="O556" s="98"/>
      <c r="P556" s="98"/>
      <c r="Q556" s="98"/>
      <c r="R556" s="98"/>
      <c r="S556" s="98"/>
      <c r="T556" s="98"/>
      <c r="U556" s="98"/>
      <c r="V556" s="98"/>
      <c r="W556" s="98"/>
      <c r="X556" s="98"/>
      <c r="Y556" s="98"/>
      <c r="Z556" s="98"/>
      <c r="AA556" s="98"/>
      <c r="AB556" s="98"/>
      <c r="AC556" s="98"/>
    </row>
    <row r="557">
      <c r="A557" s="98"/>
      <c r="B557" s="98"/>
      <c r="C557" s="98"/>
      <c r="D557" s="98"/>
      <c r="E557" s="121"/>
      <c r="F557" s="98"/>
      <c r="G557" s="98"/>
      <c r="H557" s="98"/>
      <c r="I557" s="98"/>
      <c r="J557" s="98"/>
      <c r="K557" s="98"/>
      <c r="L557" s="98"/>
      <c r="M557" s="98"/>
      <c r="N557" s="98"/>
      <c r="O557" s="98"/>
      <c r="P557" s="98"/>
      <c r="Q557" s="98"/>
      <c r="R557" s="98"/>
      <c r="S557" s="98"/>
      <c r="T557" s="98"/>
      <c r="U557" s="98"/>
      <c r="V557" s="98"/>
      <c r="W557" s="98"/>
      <c r="X557" s="98"/>
      <c r="Y557" s="98"/>
      <c r="Z557" s="98"/>
      <c r="AA557" s="98"/>
      <c r="AB557" s="98"/>
      <c r="AC557" s="98"/>
    </row>
    <row r="558">
      <c r="A558" s="98"/>
      <c r="B558" s="98"/>
      <c r="C558" s="98"/>
      <c r="D558" s="98"/>
      <c r="E558" s="121"/>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row>
    <row r="559">
      <c r="A559" s="98"/>
      <c r="B559" s="98"/>
      <c r="C559" s="98"/>
      <c r="D559" s="98"/>
      <c r="E559" s="121"/>
      <c r="F559" s="98"/>
      <c r="G559" s="98"/>
      <c r="H559" s="98"/>
      <c r="I559" s="98"/>
      <c r="J559" s="98"/>
      <c r="K559" s="98"/>
      <c r="L559" s="98"/>
      <c r="M559" s="98"/>
      <c r="N559" s="98"/>
      <c r="O559" s="98"/>
      <c r="P559" s="98"/>
      <c r="Q559" s="98"/>
      <c r="R559" s="98"/>
      <c r="S559" s="98"/>
      <c r="T559" s="98"/>
      <c r="U559" s="98"/>
      <c r="V559" s="98"/>
      <c r="W559" s="98"/>
      <c r="X559" s="98"/>
      <c r="Y559" s="98"/>
      <c r="Z559" s="98"/>
      <c r="AA559" s="98"/>
      <c r="AB559" s="98"/>
      <c r="AC559" s="98"/>
    </row>
    <row r="560">
      <c r="A560" s="98"/>
      <c r="B560" s="98"/>
      <c r="C560" s="98"/>
      <c r="D560" s="98"/>
      <c r="E560" s="121"/>
      <c r="F560" s="98"/>
      <c r="G560" s="98"/>
      <c r="H560" s="98"/>
      <c r="I560" s="98"/>
      <c r="J560" s="98"/>
      <c r="K560" s="98"/>
      <c r="L560" s="98"/>
      <c r="M560" s="98"/>
      <c r="N560" s="98"/>
      <c r="O560" s="98"/>
      <c r="P560" s="98"/>
      <c r="Q560" s="98"/>
      <c r="R560" s="98"/>
      <c r="S560" s="98"/>
      <c r="T560" s="98"/>
      <c r="U560" s="98"/>
      <c r="V560" s="98"/>
      <c r="W560" s="98"/>
      <c r="X560" s="98"/>
      <c r="Y560" s="98"/>
      <c r="Z560" s="98"/>
      <c r="AA560" s="98"/>
      <c r="AB560" s="98"/>
      <c r="AC560" s="98"/>
    </row>
    <row r="561">
      <c r="A561" s="98"/>
      <c r="B561" s="98"/>
      <c r="C561" s="98"/>
      <c r="D561" s="98"/>
      <c r="E561" s="121"/>
      <c r="F561" s="98"/>
      <c r="G561" s="98"/>
      <c r="H561" s="98"/>
      <c r="I561" s="98"/>
      <c r="J561" s="98"/>
      <c r="K561" s="98"/>
      <c r="L561" s="98"/>
      <c r="M561" s="98"/>
      <c r="N561" s="98"/>
      <c r="O561" s="98"/>
      <c r="P561" s="98"/>
      <c r="Q561" s="98"/>
      <c r="R561" s="98"/>
      <c r="S561" s="98"/>
      <c r="T561" s="98"/>
      <c r="U561" s="98"/>
      <c r="V561" s="98"/>
      <c r="W561" s="98"/>
      <c r="X561" s="98"/>
      <c r="Y561" s="98"/>
      <c r="Z561" s="98"/>
      <c r="AA561" s="98"/>
      <c r="AB561" s="98"/>
      <c r="AC561" s="98"/>
    </row>
    <row r="562">
      <c r="A562" s="98"/>
      <c r="B562" s="98"/>
      <c r="C562" s="98"/>
      <c r="D562" s="98"/>
      <c r="E562" s="121"/>
      <c r="F562" s="98"/>
      <c r="G562" s="98"/>
      <c r="H562" s="98"/>
      <c r="I562" s="98"/>
      <c r="J562" s="98"/>
      <c r="K562" s="98"/>
      <c r="L562" s="98"/>
      <c r="M562" s="98"/>
      <c r="N562" s="98"/>
      <c r="O562" s="98"/>
      <c r="P562" s="98"/>
      <c r="Q562" s="98"/>
      <c r="R562" s="98"/>
      <c r="S562" s="98"/>
      <c r="T562" s="98"/>
      <c r="U562" s="98"/>
      <c r="V562" s="98"/>
      <c r="W562" s="98"/>
      <c r="X562" s="98"/>
      <c r="Y562" s="98"/>
      <c r="Z562" s="98"/>
      <c r="AA562" s="98"/>
      <c r="AB562" s="98"/>
      <c r="AC562" s="98"/>
    </row>
    <row r="563">
      <c r="A563" s="98"/>
      <c r="B563" s="98"/>
      <c r="C563" s="98"/>
      <c r="D563" s="98"/>
      <c r="E563" s="121"/>
      <c r="F563" s="98"/>
      <c r="G563" s="98"/>
      <c r="H563" s="98"/>
      <c r="I563" s="98"/>
      <c r="J563" s="98"/>
      <c r="K563" s="98"/>
      <c r="L563" s="98"/>
      <c r="M563" s="98"/>
      <c r="N563" s="98"/>
      <c r="O563" s="98"/>
      <c r="P563" s="98"/>
      <c r="Q563" s="98"/>
      <c r="R563" s="98"/>
      <c r="S563" s="98"/>
      <c r="T563" s="98"/>
      <c r="U563" s="98"/>
      <c r="V563" s="98"/>
      <c r="W563" s="98"/>
      <c r="X563" s="98"/>
      <c r="Y563" s="98"/>
      <c r="Z563" s="98"/>
      <c r="AA563" s="98"/>
      <c r="AB563" s="98"/>
      <c r="AC563" s="98"/>
    </row>
    <row r="564">
      <c r="A564" s="98"/>
      <c r="B564" s="98"/>
      <c r="C564" s="98"/>
      <c r="D564" s="98"/>
      <c r="E564" s="121"/>
      <c r="F564" s="98"/>
      <c r="G564" s="98"/>
      <c r="H564" s="98"/>
      <c r="I564" s="98"/>
      <c r="J564" s="98"/>
      <c r="K564" s="98"/>
      <c r="L564" s="98"/>
      <c r="M564" s="98"/>
      <c r="N564" s="98"/>
      <c r="O564" s="98"/>
      <c r="P564" s="98"/>
      <c r="Q564" s="98"/>
      <c r="R564" s="98"/>
      <c r="S564" s="98"/>
      <c r="T564" s="98"/>
      <c r="U564" s="98"/>
      <c r="V564" s="98"/>
      <c r="W564" s="98"/>
      <c r="X564" s="98"/>
      <c r="Y564" s="98"/>
      <c r="Z564" s="98"/>
      <c r="AA564" s="98"/>
      <c r="AB564" s="98"/>
      <c r="AC564" s="98"/>
    </row>
    <row r="565">
      <c r="A565" s="98"/>
      <c r="B565" s="98"/>
      <c r="C565" s="98"/>
      <c r="D565" s="98"/>
      <c r="E565" s="121"/>
      <c r="F565" s="98"/>
      <c r="G565" s="98"/>
      <c r="H565" s="98"/>
      <c r="I565" s="98"/>
      <c r="J565" s="98"/>
      <c r="K565" s="98"/>
      <c r="L565" s="98"/>
      <c r="M565" s="98"/>
      <c r="N565" s="98"/>
      <c r="O565" s="98"/>
      <c r="P565" s="98"/>
      <c r="Q565" s="98"/>
      <c r="R565" s="98"/>
      <c r="S565" s="98"/>
      <c r="T565" s="98"/>
      <c r="U565" s="98"/>
      <c r="V565" s="98"/>
      <c r="W565" s="98"/>
      <c r="X565" s="98"/>
      <c r="Y565" s="98"/>
      <c r="Z565" s="98"/>
      <c r="AA565" s="98"/>
      <c r="AB565" s="98"/>
      <c r="AC565" s="98"/>
    </row>
    <row r="566">
      <c r="A566" s="98"/>
      <c r="B566" s="98"/>
      <c r="C566" s="98"/>
      <c r="D566" s="98"/>
      <c r="E566" s="121"/>
      <c r="F566" s="98"/>
      <c r="G566" s="98"/>
      <c r="H566" s="98"/>
      <c r="I566" s="98"/>
      <c r="J566" s="98"/>
      <c r="K566" s="98"/>
      <c r="L566" s="98"/>
      <c r="M566" s="98"/>
      <c r="N566" s="98"/>
      <c r="O566" s="98"/>
      <c r="P566" s="98"/>
      <c r="Q566" s="98"/>
      <c r="R566" s="98"/>
      <c r="S566" s="98"/>
      <c r="T566" s="98"/>
      <c r="U566" s="98"/>
      <c r="V566" s="98"/>
      <c r="W566" s="98"/>
      <c r="X566" s="98"/>
      <c r="Y566" s="98"/>
      <c r="Z566" s="98"/>
      <c r="AA566" s="98"/>
      <c r="AB566" s="98"/>
      <c r="AC566" s="98"/>
    </row>
    <row r="567">
      <c r="A567" s="98"/>
      <c r="B567" s="98"/>
      <c r="C567" s="98"/>
      <c r="D567" s="98"/>
      <c r="E567" s="121"/>
      <c r="F567" s="98"/>
      <c r="G567" s="98"/>
      <c r="H567" s="98"/>
      <c r="I567" s="98"/>
      <c r="J567" s="98"/>
      <c r="K567" s="98"/>
      <c r="L567" s="98"/>
      <c r="M567" s="98"/>
      <c r="N567" s="98"/>
      <c r="O567" s="98"/>
      <c r="P567" s="98"/>
      <c r="Q567" s="98"/>
      <c r="R567" s="98"/>
      <c r="S567" s="98"/>
      <c r="T567" s="98"/>
      <c r="U567" s="98"/>
      <c r="V567" s="98"/>
      <c r="W567" s="98"/>
      <c r="X567" s="98"/>
      <c r="Y567" s="98"/>
      <c r="Z567" s="98"/>
      <c r="AA567" s="98"/>
      <c r="AB567" s="98"/>
      <c r="AC567" s="98"/>
    </row>
    <row r="568">
      <c r="A568" s="98"/>
      <c r="B568" s="98"/>
      <c r="C568" s="98"/>
      <c r="D568" s="98"/>
      <c r="E568" s="121"/>
      <c r="F568" s="98"/>
      <c r="G568" s="98"/>
      <c r="H568" s="98"/>
      <c r="I568" s="98"/>
      <c r="J568" s="98"/>
      <c r="K568" s="98"/>
      <c r="L568" s="98"/>
      <c r="M568" s="98"/>
      <c r="N568" s="98"/>
      <c r="O568" s="98"/>
      <c r="P568" s="98"/>
      <c r="Q568" s="98"/>
      <c r="R568" s="98"/>
      <c r="S568" s="98"/>
      <c r="T568" s="98"/>
      <c r="U568" s="98"/>
      <c r="V568" s="98"/>
      <c r="W568" s="98"/>
      <c r="X568" s="98"/>
      <c r="Y568" s="98"/>
      <c r="Z568" s="98"/>
      <c r="AA568" s="98"/>
      <c r="AB568" s="98"/>
      <c r="AC568" s="98"/>
    </row>
    <row r="569">
      <c r="A569" s="98"/>
      <c r="B569" s="98"/>
      <c r="C569" s="98"/>
      <c r="D569" s="98"/>
      <c r="E569" s="121"/>
      <c r="F569" s="98"/>
      <c r="G569" s="98"/>
      <c r="H569" s="98"/>
      <c r="I569" s="98"/>
      <c r="J569" s="98"/>
      <c r="K569" s="98"/>
      <c r="L569" s="98"/>
      <c r="M569" s="98"/>
      <c r="N569" s="98"/>
      <c r="O569" s="98"/>
      <c r="P569" s="98"/>
      <c r="Q569" s="98"/>
      <c r="R569" s="98"/>
      <c r="S569" s="98"/>
      <c r="T569" s="98"/>
      <c r="U569" s="98"/>
      <c r="V569" s="98"/>
      <c r="W569" s="98"/>
      <c r="X569" s="98"/>
      <c r="Y569" s="98"/>
      <c r="Z569" s="98"/>
      <c r="AA569" s="98"/>
      <c r="AB569" s="98"/>
      <c r="AC569" s="98"/>
    </row>
    <row r="570">
      <c r="A570" s="98"/>
      <c r="B570" s="98"/>
      <c r="C570" s="98"/>
      <c r="D570" s="98"/>
      <c r="E570" s="121"/>
      <c r="F570" s="98"/>
      <c r="G570" s="98"/>
      <c r="H570" s="98"/>
      <c r="I570" s="98"/>
      <c r="J570" s="98"/>
      <c r="K570" s="98"/>
      <c r="L570" s="98"/>
      <c r="M570" s="98"/>
      <c r="N570" s="98"/>
      <c r="O570" s="98"/>
      <c r="P570" s="98"/>
      <c r="Q570" s="98"/>
      <c r="R570" s="98"/>
      <c r="S570" s="98"/>
      <c r="T570" s="98"/>
      <c r="U570" s="98"/>
      <c r="V570" s="98"/>
      <c r="W570" s="98"/>
      <c r="X570" s="98"/>
      <c r="Y570" s="98"/>
      <c r="Z570" s="98"/>
      <c r="AA570" s="98"/>
      <c r="AB570" s="98"/>
      <c r="AC570" s="98"/>
    </row>
    <row r="571">
      <c r="A571" s="98"/>
      <c r="B571" s="98"/>
      <c r="C571" s="98"/>
      <c r="D571" s="98"/>
      <c r="E571" s="121"/>
      <c r="F571" s="98"/>
      <c r="G571" s="98"/>
      <c r="H571" s="98"/>
      <c r="I571" s="98"/>
      <c r="J571" s="98"/>
      <c r="K571" s="98"/>
      <c r="L571" s="98"/>
      <c r="M571" s="98"/>
      <c r="N571" s="98"/>
      <c r="O571" s="98"/>
      <c r="P571" s="98"/>
      <c r="Q571" s="98"/>
      <c r="R571" s="98"/>
      <c r="S571" s="98"/>
      <c r="T571" s="98"/>
      <c r="U571" s="98"/>
      <c r="V571" s="98"/>
      <c r="W571" s="98"/>
      <c r="X571" s="98"/>
      <c r="Y571" s="98"/>
      <c r="Z571" s="98"/>
      <c r="AA571" s="98"/>
      <c r="AB571" s="98"/>
      <c r="AC571" s="98"/>
    </row>
    <row r="572">
      <c r="A572" s="98"/>
      <c r="B572" s="98"/>
      <c r="C572" s="98"/>
      <c r="D572" s="98"/>
      <c r="E572" s="121"/>
      <c r="F572" s="98"/>
      <c r="G572" s="98"/>
      <c r="H572" s="98"/>
      <c r="I572" s="98"/>
      <c r="J572" s="98"/>
      <c r="K572" s="98"/>
      <c r="L572" s="98"/>
      <c r="M572" s="98"/>
      <c r="N572" s="98"/>
      <c r="O572" s="98"/>
      <c r="P572" s="98"/>
      <c r="Q572" s="98"/>
      <c r="R572" s="98"/>
      <c r="S572" s="98"/>
      <c r="T572" s="98"/>
      <c r="U572" s="98"/>
      <c r="V572" s="98"/>
      <c r="W572" s="98"/>
      <c r="X572" s="98"/>
      <c r="Y572" s="98"/>
      <c r="Z572" s="98"/>
      <c r="AA572" s="98"/>
      <c r="AB572" s="98"/>
      <c r="AC572" s="98"/>
    </row>
    <row r="573">
      <c r="A573" s="98"/>
      <c r="B573" s="98"/>
      <c r="C573" s="98"/>
      <c r="D573" s="98"/>
      <c r="E573" s="121"/>
      <c r="F573" s="98"/>
      <c r="G573" s="98"/>
      <c r="H573" s="98"/>
      <c r="I573" s="98"/>
      <c r="J573" s="98"/>
      <c r="K573" s="98"/>
      <c r="L573" s="98"/>
      <c r="M573" s="98"/>
      <c r="N573" s="98"/>
      <c r="O573" s="98"/>
      <c r="P573" s="98"/>
      <c r="Q573" s="98"/>
      <c r="R573" s="98"/>
      <c r="S573" s="98"/>
      <c r="T573" s="98"/>
      <c r="U573" s="98"/>
      <c r="V573" s="98"/>
      <c r="W573" s="98"/>
      <c r="X573" s="98"/>
      <c r="Y573" s="98"/>
      <c r="Z573" s="98"/>
      <c r="AA573" s="98"/>
      <c r="AB573" s="98"/>
      <c r="AC573" s="98"/>
    </row>
    <row r="574">
      <c r="A574" s="98"/>
      <c r="B574" s="98"/>
      <c r="C574" s="98"/>
      <c r="D574" s="98"/>
      <c r="E574" s="121"/>
      <c r="F574" s="98"/>
      <c r="G574" s="98"/>
      <c r="H574" s="98"/>
      <c r="I574" s="98"/>
      <c r="J574" s="98"/>
      <c r="K574" s="98"/>
      <c r="L574" s="98"/>
      <c r="M574" s="98"/>
      <c r="N574" s="98"/>
      <c r="O574" s="98"/>
      <c r="P574" s="98"/>
      <c r="Q574" s="98"/>
      <c r="R574" s="98"/>
      <c r="S574" s="98"/>
      <c r="T574" s="98"/>
      <c r="U574" s="98"/>
      <c r="V574" s="98"/>
      <c r="W574" s="98"/>
      <c r="X574" s="98"/>
      <c r="Y574" s="98"/>
      <c r="Z574" s="98"/>
      <c r="AA574" s="98"/>
      <c r="AB574" s="98"/>
      <c r="AC574" s="98"/>
    </row>
    <row r="575">
      <c r="A575" s="98"/>
      <c r="B575" s="98"/>
      <c r="C575" s="98"/>
      <c r="D575" s="98"/>
      <c r="E575" s="121"/>
      <c r="F575" s="98"/>
      <c r="G575" s="98"/>
      <c r="H575" s="98"/>
      <c r="I575" s="98"/>
      <c r="J575" s="98"/>
      <c r="K575" s="98"/>
      <c r="L575" s="98"/>
      <c r="M575" s="98"/>
      <c r="N575" s="98"/>
      <c r="O575" s="98"/>
      <c r="P575" s="98"/>
      <c r="Q575" s="98"/>
      <c r="R575" s="98"/>
      <c r="S575" s="98"/>
      <c r="T575" s="98"/>
      <c r="U575" s="98"/>
      <c r="V575" s="98"/>
      <c r="W575" s="98"/>
      <c r="X575" s="98"/>
      <c r="Y575" s="98"/>
      <c r="Z575" s="98"/>
      <c r="AA575" s="98"/>
      <c r="AB575" s="98"/>
      <c r="AC575" s="98"/>
    </row>
    <row r="576">
      <c r="A576" s="98"/>
      <c r="B576" s="98"/>
      <c r="C576" s="98"/>
      <c r="D576" s="98"/>
      <c r="E576" s="121"/>
      <c r="F576" s="98"/>
      <c r="G576" s="98"/>
      <c r="H576" s="98"/>
      <c r="I576" s="98"/>
      <c r="J576" s="98"/>
      <c r="K576" s="98"/>
      <c r="L576" s="98"/>
      <c r="M576" s="98"/>
      <c r="N576" s="98"/>
      <c r="O576" s="98"/>
      <c r="P576" s="98"/>
      <c r="Q576" s="98"/>
      <c r="R576" s="98"/>
      <c r="S576" s="98"/>
      <c r="T576" s="98"/>
      <c r="U576" s="98"/>
      <c r="V576" s="98"/>
      <c r="W576" s="98"/>
      <c r="X576" s="98"/>
      <c r="Y576" s="98"/>
      <c r="Z576" s="98"/>
      <c r="AA576" s="98"/>
      <c r="AB576" s="98"/>
      <c r="AC576" s="98"/>
    </row>
    <row r="577">
      <c r="A577" s="98"/>
      <c r="B577" s="98"/>
      <c r="C577" s="98"/>
      <c r="D577" s="98"/>
      <c r="E577" s="121"/>
      <c r="F577" s="98"/>
      <c r="G577" s="98"/>
      <c r="H577" s="98"/>
      <c r="I577" s="98"/>
      <c r="J577" s="98"/>
      <c r="K577" s="98"/>
      <c r="L577" s="98"/>
      <c r="M577" s="98"/>
      <c r="N577" s="98"/>
      <c r="O577" s="98"/>
      <c r="P577" s="98"/>
      <c r="Q577" s="98"/>
      <c r="R577" s="98"/>
      <c r="S577" s="98"/>
      <c r="T577" s="98"/>
      <c r="U577" s="98"/>
      <c r="V577" s="98"/>
      <c r="W577" s="98"/>
      <c r="X577" s="98"/>
      <c r="Y577" s="98"/>
      <c r="Z577" s="98"/>
      <c r="AA577" s="98"/>
      <c r="AB577" s="98"/>
      <c r="AC577" s="98"/>
    </row>
    <row r="578">
      <c r="A578" s="98"/>
      <c r="B578" s="98"/>
      <c r="C578" s="98"/>
      <c r="D578" s="98"/>
      <c r="E578" s="121"/>
      <c r="F578" s="98"/>
      <c r="G578" s="98"/>
      <c r="H578" s="98"/>
      <c r="I578" s="98"/>
      <c r="J578" s="98"/>
      <c r="K578" s="98"/>
      <c r="L578" s="98"/>
      <c r="M578" s="98"/>
      <c r="N578" s="98"/>
      <c r="O578" s="98"/>
      <c r="P578" s="98"/>
      <c r="Q578" s="98"/>
      <c r="R578" s="98"/>
      <c r="S578" s="98"/>
      <c r="T578" s="98"/>
      <c r="U578" s="98"/>
      <c r="V578" s="98"/>
      <c r="W578" s="98"/>
      <c r="X578" s="98"/>
      <c r="Y578" s="98"/>
      <c r="Z578" s="98"/>
      <c r="AA578" s="98"/>
      <c r="AB578" s="98"/>
      <c r="AC578" s="98"/>
    </row>
    <row r="579">
      <c r="A579" s="98"/>
      <c r="B579" s="98"/>
      <c r="C579" s="98"/>
      <c r="D579" s="98"/>
      <c r="E579" s="121"/>
      <c r="F579" s="98"/>
      <c r="G579" s="98"/>
      <c r="H579" s="98"/>
      <c r="I579" s="98"/>
      <c r="J579" s="98"/>
      <c r="K579" s="98"/>
      <c r="L579" s="98"/>
      <c r="M579" s="98"/>
      <c r="N579" s="98"/>
      <c r="O579" s="98"/>
      <c r="P579" s="98"/>
      <c r="Q579" s="98"/>
      <c r="R579" s="98"/>
      <c r="S579" s="98"/>
      <c r="T579" s="98"/>
      <c r="U579" s="98"/>
      <c r="V579" s="98"/>
      <c r="W579" s="98"/>
      <c r="X579" s="98"/>
      <c r="Y579" s="98"/>
      <c r="Z579" s="98"/>
      <c r="AA579" s="98"/>
      <c r="AB579" s="98"/>
      <c r="AC579" s="98"/>
    </row>
    <row r="580">
      <c r="A580" s="98"/>
      <c r="B580" s="98"/>
      <c r="C580" s="98"/>
      <c r="D580" s="98"/>
      <c r="E580" s="121"/>
      <c r="F580" s="98"/>
      <c r="G580" s="98"/>
      <c r="H580" s="98"/>
      <c r="I580" s="98"/>
      <c r="J580" s="98"/>
      <c r="K580" s="98"/>
      <c r="L580" s="98"/>
      <c r="M580" s="98"/>
      <c r="N580" s="98"/>
      <c r="O580" s="98"/>
      <c r="P580" s="98"/>
      <c r="Q580" s="98"/>
      <c r="R580" s="98"/>
      <c r="S580" s="98"/>
      <c r="T580" s="98"/>
      <c r="U580" s="98"/>
      <c r="V580" s="98"/>
      <c r="W580" s="98"/>
      <c r="X580" s="98"/>
      <c r="Y580" s="98"/>
      <c r="Z580" s="98"/>
      <c r="AA580" s="98"/>
      <c r="AB580" s="98"/>
      <c r="AC580" s="98"/>
    </row>
    <row r="581">
      <c r="A581" s="98"/>
      <c r="B581" s="98"/>
      <c r="C581" s="98"/>
      <c r="D581" s="98"/>
      <c r="E581" s="121"/>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row>
    <row r="582">
      <c r="A582" s="98"/>
      <c r="B582" s="98"/>
      <c r="C582" s="98"/>
      <c r="D582" s="98"/>
      <c r="E582" s="121"/>
      <c r="F582" s="98"/>
      <c r="G582" s="98"/>
      <c r="H582" s="98"/>
      <c r="I582" s="98"/>
      <c r="J582" s="98"/>
      <c r="K582" s="98"/>
      <c r="L582" s="98"/>
      <c r="M582" s="98"/>
      <c r="N582" s="98"/>
      <c r="O582" s="98"/>
      <c r="P582" s="98"/>
      <c r="Q582" s="98"/>
      <c r="R582" s="98"/>
      <c r="S582" s="98"/>
      <c r="T582" s="98"/>
      <c r="U582" s="98"/>
      <c r="V582" s="98"/>
      <c r="W582" s="98"/>
      <c r="X582" s="98"/>
      <c r="Y582" s="98"/>
      <c r="Z582" s="98"/>
      <c r="AA582" s="98"/>
      <c r="AB582" s="98"/>
      <c r="AC582" s="98"/>
    </row>
    <row r="583">
      <c r="A583" s="98"/>
      <c r="B583" s="98"/>
      <c r="C583" s="98"/>
      <c r="D583" s="98"/>
      <c r="E583" s="121"/>
      <c r="F583" s="98"/>
      <c r="G583" s="98"/>
      <c r="H583" s="98"/>
      <c r="I583" s="98"/>
      <c r="J583" s="98"/>
      <c r="K583" s="98"/>
      <c r="L583" s="98"/>
      <c r="M583" s="98"/>
      <c r="N583" s="98"/>
      <c r="O583" s="98"/>
      <c r="P583" s="98"/>
      <c r="Q583" s="98"/>
      <c r="R583" s="98"/>
      <c r="S583" s="98"/>
      <c r="T583" s="98"/>
      <c r="U583" s="98"/>
      <c r="V583" s="98"/>
      <c r="W583" s="98"/>
      <c r="X583" s="98"/>
      <c r="Y583" s="98"/>
      <c r="Z583" s="98"/>
      <c r="AA583" s="98"/>
      <c r="AB583" s="98"/>
      <c r="AC583" s="98"/>
    </row>
    <row r="584">
      <c r="A584" s="98"/>
      <c r="B584" s="98"/>
      <c r="C584" s="98"/>
      <c r="D584" s="98"/>
      <c r="E584" s="121"/>
      <c r="F584" s="98"/>
      <c r="G584" s="98"/>
      <c r="H584" s="98"/>
      <c r="I584" s="98"/>
      <c r="J584" s="98"/>
      <c r="K584" s="98"/>
      <c r="L584" s="98"/>
      <c r="M584" s="98"/>
      <c r="N584" s="98"/>
      <c r="O584" s="98"/>
      <c r="P584" s="98"/>
      <c r="Q584" s="98"/>
      <c r="R584" s="98"/>
      <c r="S584" s="98"/>
      <c r="T584" s="98"/>
      <c r="U584" s="98"/>
      <c r="V584" s="98"/>
      <c r="W584" s="98"/>
      <c r="X584" s="98"/>
      <c r="Y584" s="98"/>
      <c r="Z584" s="98"/>
      <c r="AA584" s="98"/>
      <c r="AB584" s="98"/>
      <c r="AC584" s="98"/>
    </row>
    <row r="585">
      <c r="A585" s="98"/>
      <c r="B585" s="98"/>
      <c r="C585" s="98"/>
      <c r="D585" s="98"/>
      <c r="E585" s="121"/>
      <c r="F585" s="98"/>
      <c r="G585" s="98"/>
      <c r="H585" s="98"/>
      <c r="I585" s="98"/>
      <c r="J585" s="98"/>
      <c r="K585" s="98"/>
      <c r="L585" s="98"/>
      <c r="M585" s="98"/>
      <c r="N585" s="98"/>
      <c r="O585" s="98"/>
      <c r="P585" s="98"/>
      <c r="Q585" s="98"/>
      <c r="R585" s="98"/>
      <c r="S585" s="98"/>
      <c r="T585" s="98"/>
      <c r="U585" s="98"/>
      <c r="V585" s="98"/>
      <c r="W585" s="98"/>
      <c r="X585" s="98"/>
      <c r="Y585" s="98"/>
      <c r="Z585" s="98"/>
      <c r="AA585" s="98"/>
      <c r="AB585" s="98"/>
      <c r="AC585" s="98"/>
    </row>
    <row r="586">
      <c r="A586" s="98"/>
      <c r="B586" s="98"/>
      <c r="C586" s="98"/>
      <c r="D586" s="98"/>
      <c r="E586" s="121"/>
      <c r="F586" s="98"/>
      <c r="G586" s="98"/>
      <c r="H586" s="98"/>
      <c r="I586" s="98"/>
      <c r="J586" s="98"/>
      <c r="K586" s="98"/>
      <c r="L586" s="98"/>
      <c r="M586" s="98"/>
      <c r="N586" s="98"/>
      <c r="O586" s="98"/>
      <c r="P586" s="98"/>
      <c r="Q586" s="98"/>
      <c r="R586" s="98"/>
      <c r="S586" s="98"/>
      <c r="T586" s="98"/>
      <c r="U586" s="98"/>
      <c r="V586" s="98"/>
      <c r="W586" s="98"/>
      <c r="X586" s="98"/>
      <c r="Y586" s="98"/>
      <c r="Z586" s="98"/>
      <c r="AA586" s="98"/>
      <c r="AB586" s="98"/>
      <c r="AC586" s="98"/>
    </row>
    <row r="587">
      <c r="A587" s="98"/>
      <c r="B587" s="98"/>
      <c r="C587" s="98"/>
      <c r="D587" s="98"/>
      <c r="E587" s="121"/>
      <c r="F587" s="98"/>
      <c r="G587" s="98"/>
      <c r="H587" s="98"/>
      <c r="I587" s="98"/>
      <c r="J587" s="98"/>
      <c r="K587" s="98"/>
      <c r="L587" s="98"/>
      <c r="M587" s="98"/>
      <c r="N587" s="98"/>
      <c r="O587" s="98"/>
      <c r="P587" s="98"/>
      <c r="Q587" s="98"/>
      <c r="R587" s="98"/>
      <c r="S587" s="98"/>
      <c r="T587" s="98"/>
      <c r="U587" s="98"/>
      <c r="V587" s="98"/>
      <c r="W587" s="98"/>
      <c r="X587" s="98"/>
      <c r="Y587" s="98"/>
      <c r="Z587" s="98"/>
      <c r="AA587" s="98"/>
      <c r="AB587" s="98"/>
      <c r="AC587" s="98"/>
    </row>
    <row r="588">
      <c r="A588" s="98"/>
      <c r="B588" s="98"/>
      <c r="C588" s="98"/>
      <c r="D588" s="98"/>
      <c r="E588" s="121"/>
      <c r="F588" s="98"/>
      <c r="G588" s="98"/>
      <c r="H588" s="98"/>
      <c r="I588" s="98"/>
      <c r="J588" s="98"/>
      <c r="K588" s="98"/>
      <c r="L588" s="98"/>
      <c r="M588" s="98"/>
      <c r="N588" s="98"/>
      <c r="O588" s="98"/>
      <c r="P588" s="98"/>
      <c r="Q588" s="98"/>
      <c r="R588" s="98"/>
      <c r="S588" s="98"/>
      <c r="T588" s="98"/>
      <c r="U588" s="98"/>
      <c r="V588" s="98"/>
      <c r="W588" s="98"/>
      <c r="X588" s="98"/>
      <c r="Y588" s="98"/>
      <c r="Z588" s="98"/>
      <c r="AA588" s="98"/>
      <c r="AB588" s="98"/>
      <c r="AC588" s="98"/>
    </row>
    <row r="589">
      <c r="A589" s="98"/>
      <c r="B589" s="98"/>
      <c r="C589" s="98"/>
      <c r="D589" s="98"/>
      <c r="E589" s="121"/>
      <c r="F589" s="98"/>
      <c r="G589" s="98"/>
      <c r="H589" s="98"/>
      <c r="I589" s="98"/>
      <c r="J589" s="98"/>
      <c r="K589" s="98"/>
      <c r="L589" s="98"/>
      <c r="M589" s="98"/>
      <c r="N589" s="98"/>
      <c r="O589" s="98"/>
      <c r="P589" s="98"/>
      <c r="Q589" s="98"/>
      <c r="R589" s="98"/>
      <c r="S589" s="98"/>
      <c r="T589" s="98"/>
      <c r="U589" s="98"/>
      <c r="V589" s="98"/>
      <c r="W589" s="98"/>
      <c r="X589" s="98"/>
      <c r="Y589" s="98"/>
      <c r="Z589" s="98"/>
      <c r="AA589" s="98"/>
      <c r="AB589" s="98"/>
      <c r="AC589" s="98"/>
    </row>
    <row r="590">
      <c r="A590" s="98"/>
      <c r="B590" s="98"/>
      <c r="C590" s="98"/>
      <c r="D590" s="98"/>
      <c r="E590" s="121"/>
      <c r="F590" s="98"/>
      <c r="G590" s="98"/>
      <c r="H590" s="98"/>
      <c r="I590" s="98"/>
      <c r="J590" s="98"/>
      <c r="K590" s="98"/>
      <c r="L590" s="98"/>
      <c r="M590" s="98"/>
      <c r="N590" s="98"/>
      <c r="O590" s="98"/>
      <c r="P590" s="98"/>
      <c r="Q590" s="98"/>
      <c r="R590" s="98"/>
      <c r="S590" s="98"/>
      <c r="T590" s="98"/>
      <c r="U590" s="98"/>
      <c r="V590" s="98"/>
      <c r="W590" s="98"/>
      <c r="X590" s="98"/>
      <c r="Y590" s="98"/>
      <c r="Z590" s="98"/>
      <c r="AA590" s="98"/>
      <c r="AB590" s="98"/>
      <c r="AC590" s="98"/>
    </row>
    <row r="591">
      <c r="A591" s="98"/>
      <c r="B591" s="98"/>
      <c r="C591" s="98"/>
      <c r="D591" s="98"/>
      <c r="E591" s="121"/>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row>
    <row r="592">
      <c r="A592" s="98"/>
      <c r="B592" s="98"/>
      <c r="C592" s="98"/>
      <c r="D592" s="98"/>
      <c r="E592" s="121"/>
      <c r="F592" s="98"/>
      <c r="G592" s="98"/>
      <c r="H592" s="98"/>
      <c r="I592" s="98"/>
      <c r="J592" s="98"/>
      <c r="K592" s="98"/>
      <c r="L592" s="98"/>
      <c r="M592" s="98"/>
      <c r="N592" s="98"/>
      <c r="O592" s="98"/>
      <c r="P592" s="98"/>
      <c r="Q592" s="98"/>
      <c r="R592" s="98"/>
      <c r="S592" s="98"/>
      <c r="T592" s="98"/>
      <c r="U592" s="98"/>
      <c r="V592" s="98"/>
      <c r="W592" s="98"/>
      <c r="X592" s="98"/>
      <c r="Y592" s="98"/>
      <c r="Z592" s="98"/>
      <c r="AA592" s="98"/>
      <c r="AB592" s="98"/>
      <c r="AC592" s="98"/>
    </row>
    <row r="593">
      <c r="A593" s="98"/>
      <c r="B593" s="98"/>
      <c r="C593" s="98"/>
      <c r="D593" s="98"/>
      <c r="E593" s="121"/>
      <c r="F593" s="98"/>
      <c r="G593" s="98"/>
      <c r="H593" s="98"/>
      <c r="I593" s="98"/>
      <c r="J593" s="98"/>
      <c r="K593" s="98"/>
      <c r="L593" s="98"/>
      <c r="M593" s="98"/>
      <c r="N593" s="98"/>
      <c r="O593" s="98"/>
      <c r="P593" s="98"/>
      <c r="Q593" s="98"/>
      <c r="R593" s="98"/>
      <c r="S593" s="98"/>
      <c r="T593" s="98"/>
      <c r="U593" s="98"/>
      <c r="V593" s="98"/>
      <c r="W593" s="98"/>
      <c r="X593" s="98"/>
      <c r="Y593" s="98"/>
      <c r="Z593" s="98"/>
      <c r="AA593" s="98"/>
      <c r="AB593" s="98"/>
      <c r="AC593" s="98"/>
    </row>
    <row r="594">
      <c r="A594" s="98"/>
      <c r="B594" s="98"/>
      <c r="C594" s="98"/>
      <c r="D594" s="98"/>
      <c r="E594" s="121"/>
      <c r="F594" s="98"/>
      <c r="G594" s="98"/>
      <c r="H594" s="98"/>
      <c r="I594" s="98"/>
      <c r="J594" s="98"/>
      <c r="K594" s="98"/>
      <c r="L594" s="98"/>
      <c r="M594" s="98"/>
      <c r="N594" s="98"/>
      <c r="O594" s="98"/>
      <c r="P594" s="98"/>
      <c r="Q594" s="98"/>
      <c r="R594" s="98"/>
      <c r="S594" s="98"/>
      <c r="T594" s="98"/>
      <c r="U594" s="98"/>
      <c r="V594" s="98"/>
      <c r="W594" s="98"/>
      <c r="X594" s="98"/>
      <c r="Y594" s="98"/>
      <c r="Z594" s="98"/>
      <c r="AA594" s="98"/>
      <c r="AB594" s="98"/>
      <c r="AC594" s="98"/>
    </row>
    <row r="595">
      <c r="A595" s="98"/>
      <c r="B595" s="98"/>
      <c r="C595" s="98"/>
      <c r="D595" s="98"/>
      <c r="E595" s="121"/>
      <c r="F595" s="98"/>
      <c r="G595" s="98"/>
      <c r="H595" s="98"/>
      <c r="I595" s="98"/>
      <c r="J595" s="98"/>
      <c r="K595" s="98"/>
      <c r="L595" s="98"/>
      <c r="M595" s="98"/>
      <c r="N595" s="98"/>
      <c r="O595" s="98"/>
      <c r="P595" s="98"/>
      <c r="Q595" s="98"/>
      <c r="R595" s="98"/>
      <c r="S595" s="98"/>
      <c r="T595" s="98"/>
      <c r="U595" s="98"/>
      <c r="V595" s="98"/>
      <c r="W595" s="98"/>
      <c r="X595" s="98"/>
      <c r="Y595" s="98"/>
      <c r="Z595" s="98"/>
      <c r="AA595" s="98"/>
      <c r="AB595" s="98"/>
      <c r="AC595" s="98"/>
    </row>
    <row r="596">
      <c r="A596" s="98"/>
      <c r="B596" s="98"/>
      <c r="C596" s="98"/>
      <c r="D596" s="98"/>
      <c r="E596" s="121"/>
      <c r="F596" s="98"/>
      <c r="G596" s="98"/>
      <c r="H596" s="98"/>
      <c r="I596" s="98"/>
      <c r="J596" s="98"/>
      <c r="K596" s="98"/>
      <c r="L596" s="98"/>
      <c r="M596" s="98"/>
      <c r="N596" s="98"/>
      <c r="O596" s="98"/>
      <c r="P596" s="98"/>
      <c r="Q596" s="98"/>
      <c r="R596" s="98"/>
      <c r="S596" s="98"/>
      <c r="T596" s="98"/>
      <c r="U596" s="98"/>
      <c r="V596" s="98"/>
      <c r="W596" s="98"/>
      <c r="X596" s="98"/>
      <c r="Y596" s="98"/>
      <c r="Z596" s="98"/>
      <c r="AA596" s="98"/>
      <c r="AB596" s="98"/>
      <c r="AC596" s="98"/>
    </row>
    <row r="597">
      <c r="A597" s="98"/>
      <c r="B597" s="98"/>
      <c r="C597" s="98"/>
      <c r="D597" s="98"/>
      <c r="E597" s="121"/>
      <c r="F597" s="98"/>
      <c r="G597" s="98"/>
      <c r="H597" s="98"/>
      <c r="I597" s="98"/>
      <c r="J597" s="98"/>
      <c r="K597" s="98"/>
      <c r="L597" s="98"/>
      <c r="M597" s="98"/>
      <c r="N597" s="98"/>
      <c r="O597" s="98"/>
      <c r="P597" s="98"/>
      <c r="Q597" s="98"/>
      <c r="R597" s="98"/>
      <c r="S597" s="98"/>
      <c r="T597" s="98"/>
      <c r="U597" s="98"/>
      <c r="V597" s="98"/>
      <c r="W597" s="98"/>
      <c r="X597" s="98"/>
      <c r="Y597" s="98"/>
      <c r="Z597" s="98"/>
      <c r="AA597" s="98"/>
      <c r="AB597" s="98"/>
      <c r="AC597" s="98"/>
    </row>
    <row r="598">
      <c r="A598" s="98"/>
      <c r="B598" s="98"/>
      <c r="C598" s="98"/>
      <c r="D598" s="98"/>
      <c r="E598" s="121"/>
      <c r="F598" s="98"/>
      <c r="G598" s="98"/>
      <c r="H598" s="98"/>
      <c r="I598" s="98"/>
      <c r="J598" s="98"/>
      <c r="K598" s="98"/>
      <c r="L598" s="98"/>
      <c r="M598" s="98"/>
      <c r="N598" s="98"/>
      <c r="O598" s="98"/>
      <c r="P598" s="98"/>
      <c r="Q598" s="98"/>
      <c r="R598" s="98"/>
      <c r="S598" s="98"/>
      <c r="T598" s="98"/>
      <c r="U598" s="98"/>
      <c r="V598" s="98"/>
      <c r="W598" s="98"/>
      <c r="X598" s="98"/>
      <c r="Y598" s="98"/>
      <c r="Z598" s="98"/>
      <c r="AA598" s="98"/>
      <c r="AB598" s="98"/>
      <c r="AC598" s="98"/>
    </row>
    <row r="599">
      <c r="A599" s="98"/>
      <c r="B599" s="98"/>
      <c r="C599" s="98"/>
      <c r="D599" s="98"/>
      <c r="E599" s="121"/>
      <c r="F599" s="98"/>
      <c r="G599" s="98"/>
      <c r="H599" s="98"/>
      <c r="I599" s="98"/>
      <c r="J599" s="98"/>
      <c r="K599" s="98"/>
      <c r="L599" s="98"/>
      <c r="M599" s="98"/>
      <c r="N599" s="98"/>
      <c r="O599" s="98"/>
      <c r="P599" s="98"/>
      <c r="Q599" s="98"/>
      <c r="R599" s="98"/>
      <c r="S599" s="98"/>
      <c r="T599" s="98"/>
      <c r="U599" s="98"/>
      <c r="V599" s="98"/>
      <c r="W599" s="98"/>
      <c r="X599" s="98"/>
      <c r="Y599" s="98"/>
      <c r="Z599" s="98"/>
      <c r="AA599" s="98"/>
      <c r="AB599" s="98"/>
      <c r="AC599" s="98"/>
    </row>
    <row r="600">
      <c r="A600" s="98"/>
      <c r="B600" s="98"/>
      <c r="C600" s="98"/>
      <c r="D600" s="98"/>
      <c r="E600" s="121"/>
      <c r="F600" s="98"/>
      <c r="G600" s="98"/>
      <c r="H600" s="98"/>
      <c r="I600" s="98"/>
      <c r="J600" s="98"/>
      <c r="K600" s="98"/>
      <c r="L600" s="98"/>
      <c r="M600" s="98"/>
      <c r="N600" s="98"/>
      <c r="O600" s="98"/>
      <c r="P600" s="98"/>
      <c r="Q600" s="98"/>
      <c r="R600" s="98"/>
      <c r="S600" s="98"/>
      <c r="T600" s="98"/>
      <c r="U600" s="98"/>
      <c r="V600" s="98"/>
      <c r="W600" s="98"/>
      <c r="X600" s="98"/>
      <c r="Y600" s="98"/>
      <c r="Z600" s="98"/>
      <c r="AA600" s="98"/>
      <c r="AB600" s="98"/>
      <c r="AC600" s="98"/>
    </row>
    <row r="601">
      <c r="A601" s="98"/>
      <c r="B601" s="98"/>
      <c r="C601" s="98"/>
      <c r="D601" s="98"/>
      <c r="E601" s="121"/>
      <c r="F601" s="98"/>
      <c r="G601" s="98"/>
      <c r="H601" s="98"/>
      <c r="I601" s="98"/>
      <c r="J601" s="98"/>
      <c r="K601" s="98"/>
      <c r="L601" s="98"/>
      <c r="M601" s="98"/>
      <c r="N601" s="98"/>
      <c r="O601" s="98"/>
      <c r="P601" s="98"/>
      <c r="Q601" s="98"/>
      <c r="R601" s="98"/>
      <c r="S601" s="98"/>
      <c r="T601" s="98"/>
      <c r="U601" s="98"/>
      <c r="V601" s="98"/>
      <c r="W601" s="98"/>
      <c r="X601" s="98"/>
      <c r="Y601" s="98"/>
      <c r="Z601" s="98"/>
      <c r="AA601" s="98"/>
      <c r="AB601" s="98"/>
      <c r="AC601" s="98"/>
    </row>
    <row r="602">
      <c r="A602" s="98"/>
      <c r="B602" s="98"/>
      <c r="C602" s="98"/>
      <c r="D602" s="98"/>
      <c r="E602" s="121"/>
      <c r="F602" s="98"/>
      <c r="G602" s="98"/>
      <c r="H602" s="98"/>
      <c r="I602" s="98"/>
      <c r="J602" s="98"/>
      <c r="K602" s="98"/>
      <c r="L602" s="98"/>
      <c r="M602" s="98"/>
      <c r="N602" s="98"/>
      <c r="O602" s="98"/>
      <c r="P602" s="98"/>
      <c r="Q602" s="98"/>
      <c r="R602" s="98"/>
      <c r="S602" s="98"/>
      <c r="T602" s="98"/>
      <c r="U602" s="98"/>
      <c r="V602" s="98"/>
      <c r="W602" s="98"/>
      <c r="X602" s="98"/>
      <c r="Y602" s="98"/>
      <c r="Z602" s="98"/>
      <c r="AA602" s="98"/>
      <c r="AB602" s="98"/>
      <c r="AC602" s="98"/>
    </row>
    <row r="603">
      <c r="A603" s="98"/>
      <c r="B603" s="98"/>
      <c r="C603" s="98"/>
      <c r="D603" s="98"/>
      <c r="E603" s="121"/>
      <c r="F603" s="98"/>
      <c r="G603" s="98"/>
      <c r="H603" s="98"/>
      <c r="I603" s="98"/>
      <c r="J603" s="98"/>
      <c r="K603" s="98"/>
      <c r="L603" s="98"/>
      <c r="M603" s="98"/>
      <c r="N603" s="98"/>
      <c r="O603" s="98"/>
      <c r="P603" s="98"/>
      <c r="Q603" s="98"/>
      <c r="R603" s="98"/>
      <c r="S603" s="98"/>
      <c r="T603" s="98"/>
      <c r="U603" s="98"/>
      <c r="V603" s="98"/>
      <c r="W603" s="98"/>
      <c r="X603" s="98"/>
      <c r="Y603" s="98"/>
      <c r="Z603" s="98"/>
      <c r="AA603" s="98"/>
      <c r="AB603" s="98"/>
      <c r="AC603" s="98"/>
    </row>
    <row r="604">
      <c r="A604" s="98"/>
      <c r="B604" s="98"/>
      <c r="C604" s="98"/>
      <c r="D604" s="98"/>
      <c r="E604" s="121"/>
      <c r="F604" s="98"/>
      <c r="G604" s="98"/>
      <c r="H604" s="98"/>
      <c r="I604" s="98"/>
      <c r="J604" s="98"/>
      <c r="K604" s="98"/>
      <c r="L604" s="98"/>
      <c r="M604" s="98"/>
      <c r="N604" s="98"/>
      <c r="O604" s="98"/>
      <c r="P604" s="98"/>
      <c r="Q604" s="98"/>
      <c r="R604" s="98"/>
      <c r="S604" s="98"/>
      <c r="T604" s="98"/>
      <c r="U604" s="98"/>
      <c r="V604" s="98"/>
      <c r="W604" s="98"/>
      <c r="X604" s="98"/>
      <c r="Y604" s="98"/>
      <c r="Z604" s="98"/>
      <c r="AA604" s="98"/>
      <c r="AB604" s="98"/>
      <c r="AC604" s="98"/>
    </row>
    <row r="605">
      <c r="A605" s="98"/>
      <c r="B605" s="98"/>
      <c r="C605" s="98"/>
      <c r="D605" s="98"/>
      <c r="E605" s="121"/>
      <c r="F605" s="98"/>
      <c r="G605" s="98"/>
      <c r="H605" s="98"/>
      <c r="I605" s="98"/>
      <c r="J605" s="98"/>
      <c r="K605" s="98"/>
      <c r="L605" s="98"/>
      <c r="M605" s="98"/>
      <c r="N605" s="98"/>
      <c r="O605" s="98"/>
      <c r="P605" s="98"/>
      <c r="Q605" s="98"/>
      <c r="R605" s="98"/>
      <c r="S605" s="98"/>
      <c r="T605" s="98"/>
      <c r="U605" s="98"/>
      <c r="V605" s="98"/>
      <c r="W605" s="98"/>
      <c r="X605" s="98"/>
      <c r="Y605" s="98"/>
      <c r="Z605" s="98"/>
      <c r="AA605" s="98"/>
      <c r="AB605" s="98"/>
      <c r="AC605" s="98"/>
    </row>
    <row r="606">
      <c r="A606" s="98"/>
      <c r="B606" s="98"/>
      <c r="C606" s="98"/>
      <c r="D606" s="98"/>
      <c r="E606" s="121"/>
      <c r="F606" s="98"/>
      <c r="G606" s="98"/>
      <c r="H606" s="98"/>
      <c r="I606" s="98"/>
      <c r="J606" s="98"/>
      <c r="K606" s="98"/>
      <c r="L606" s="98"/>
      <c r="M606" s="98"/>
      <c r="N606" s="98"/>
      <c r="O606" s="98"/>
      <c r="P606" s="98"/>
      <c r="Q606" s="98"/>
      <c r="R606" s="98"/>
      <c r="S606" s="98"/>
      <c r="T606" s="98"/>
      <c r="U606" s="98"/>
      <c r="V606" s="98"/>
      <c r="W606" s="98"/>
      <c r="X606" s="98"/>
      <c r="Y606" s="98"/>
      <c r="Z606" s="98"/>
      <c r="AA606" s="98"/>
      <c r="AB606" s="98"/>
      <c r="AC606" s="98"/>
    </row>
    <row r="607">
      <c r="A607" s="98"/>
      <c r="B607" s="98"/>
      <c r="C607" s="98"/>
      <c r="D607" s="98"/>
      <c r="E607" s="121"/>
      <c r="F607" s="98"/>
      <c r="G607" s="98"/>
      <c r="H607" s="98"/>
      <c r="I607" s="98"/>
      <c r="J607" s="98"/>
      <c r="K607" s="98"/>
      <c r="L607" s="98"/>
      <c r="M607" s="98"/>
      <c r="N607" s="98"/>
      <c r="O607" s="98"/>
      <c r="P607" s="98"/>
      <c r="Q607" s="98"/>
      <c r="R607" s="98"/>
      <c r="S607" s="98"/>
      <c r="T607" s="98"/>
      <c r="U607" s="98"/>
      <c r="V607" s="98"/>
      <c r="W607" s="98"/>
      <c r="X607" s="98"/>
      <c r="Y607" s="98"/>
      <c r="Z607" s="98"/>
      <c r="AA607" s="98"/>
      <c r="AB607" s="98"/>
      <c r="AC607" s="98"/>
    </row>
    <row r="608">
      <c r="A608" s="98"/>
      <c r="B608" s="98"/>
      <c r="C608" s="98"/>
      <c r="D608" s="98"/>
      <c r="E608" s="121"/>
      <c r="F608" s="98"/>
      <c r="G608" s="98"/>
      <c r="H608" s="98"/>
      <c r="I608" s="98"/>
      <c r="J608" s="98"/>
      <c r="K608" s="98"/>
      <c r="L608" s="98"/>
      <c r="M608" s="98"/>
      <c r="N608" s="98"/>
      <c r="O608" s="98"/>
      <c r="P608" s="98"/>
      <c r="Q608" s="98"/>
      <c r="R608" s="98"/>
      <c r="S608" s="98"/>
      <c r="T608" s="98"/>
      <c r="U608" s="98"/>
      <c r="V608" s="98"/>
      <c r="W608" s="98"/>
      <c r="X608" s="98"/>
      <c r="Y608" s="98"/>
      <c r="Z608" s="98"/>
      <c r="AA608" s="98"/>
      <c r="AB608" s="98"/>
      <c r="AC608" s="98"/>
    </row>
    <row r="609">
      <c r="A609" s="98"/>
      <c r="B609" s="98"/>
      <c r="C609" s="98"/>
      <c r="D609" s="98"/>
      <c r="E609" s="121"/>
      <c r="F609" s="98"/>
      <c r="G609" s="98"/>
      <c r="H609" s="98"/>
      <c r="I609" s="98"/>
      <c r="J609" s="98"/>
      <c r="K609" s="98"/>
      <c r="L609" s="98"/>
      <c r="M609" s="98"/>
      <c r="N609" s="98"/>
      <c r="O609" s="98"/>
      <c r="P609" s="98"/>
      <c r="Q609" s="98"/>
      <c r="R609" s="98"/>
      <c r="S609" s="98"/>
      <c r="T609" s="98"/>
      <c r="U609" s="98"/>
      <c r="V609" s="98"/>
      <c r="W609" s="98"/>
      <c r="X609" s="98"/>
      <c r="Y609" s="98"/>
      <c r="Z609" s="98"/>
      <c r="AA609" s="98"/>
      <c r="AB609" s="98"/>
      <c r="AC609" s="98"/>
    </row>
    <row r="610">
      <c r="A610" s="98"/>
      <c r="B610" s="98"/>
      <c r="C610" s="98"/>
      <c r="D610" s="98"/>
      <c r="E610" s="121"/>
      <c r="F610" s="98"/>
      <c r="G610" s="98"/>
      <c r="H610" s="98"/>
      <c r="I610" s="98"/>
      <c r="J610" s="98"/>
      <c r="K610" s="98"/>
      <c r="L610" s="98"/>
      <c r="M610" s="98"/>
      <c r="N610" s="98"/>
      <c r="O610" s="98"/>
      <c r="P610" s="98"/>
      <c r="Q610" s="98"/>
      <c r="R610" s="98"/>
      <c r="S610" s="98"/>
      <c r="T610" s="98"/>
      <c r="U610" s="98"/>
      <c r="V610" s="98"/>
      <c r="W610" s="98"/>
      <c r="X610" s="98"/>
      <c r="Y610" s="98"/>
      <c r="Z610" s="98"/>
      <c r="AA610" s="98"/>
      <c r="AB610" s="98"/>
      <c r="AC610" s="98"/>
    </row>
    <row r="611">
      <c r="A611" s="98"/>
      <c r="B611" s="98"/>
      <c r="C611" s="98"/>
      <c r="D611" s="98"/>
      <c r="E611" s="121"/>
      <c r="F611" s="98"/>
      <c r="G611" s="98"/>
      <c r="H611" s="98"/>
      <c r="I611" s="98"/>
      <c r="J611" s="98"/>
      <c r="K611" s="98"/>
      <c r="L611" s="98"/>
      <c r="M611" s="98"/>
      <c r="N611" s="98"/>
      <c r="O611" s="98"/>
      <c r="P611" s="98"/>
      <c r="Q611" s="98"/>
      <c r="R611" s="98"/>
      <c r="S611" s="98"/>
      <c r="T611" s="98"/>
      <c r="U611" s="98"/>
      <c r="V611" s="98"/>
      <c r="W611" s="98"/>
      <c r="X611" s="98"/>
      <c r="Y611" s="98"/>
      <c r="Z611" s="98"/>
      <c r="AA611" s="98"/>
      <c r="AB611" s="98"/>
      <c r="AC611" s="98"/>
    </row>
    <row r="612">
      <c r="A612" s="98"/>
      <c r="B612" s="98"/>
      <c r="C612" s="98"/>
      <c r="D612" s="98"/>
      <c r="E612" s="121"/>
      <c r="F612" s="98"/>
      <c r="G612" s="98"/>
      <c r="H612" s="98"/>
      <c r="I612" s="98"/>
      <c r="J612" s="98"/>
      <c r="K612" s="98"/>
      <c r="L612" s="98"/>
      <c r="M612" s="98"/>
      <c r="N612" s="98"/>
      <c r="O612" s="98"/>
      <c r="P612" s="98"/>
      <c r="Q612" s="98"/>
      <c r="R612" s="98"/>
      <c r="S612" s="98"/>
      <c r="T612" s="98"/>
      <c r="U612" s="98"/>
      <c r="V612" s="98"/>
      <c r="W612" s="98"/>
      <c r="X612" s="98"/>
      <c r="Y612" s="98"/>
      <c r="Z612" s="98"/>
      <c r="AA612" s="98"/>
      <c r="AB612" s="98"/>
      <c r="AC612" s="98"/>
    </row>
    <row r="613">
      <c r="A613" s="98"/>
      <c r="B613" s="98"/>
      <c r="C613" s="98"/>
      <c r="D613" s="98"/>
      <c r="E613" s="121"/>
      <c r="F613" s="98"/>
      <c r="G613" s="98"/>
      <c r="H613" s="98"/>
      <c r="I613" s="98"/>
      <c r="J613" s="98"/>
      <c r="K613" s="98"/>
      <c r="L613" s="98"/>
      <c r="M613" s="98"/>
      <c r="N613" s="98"/>
      <c r="O613" s="98"/>
      <c r="P613" s="98"/>
      <c r="Q613" s="98"/>
      <c r="R613" s="98"/>
      <c r="S613" s="98"/>
      <c r="T613" s="98"/>
      <c r="U613" s="98"/>
      <c r="V613" s="98"/>
      <c r="W613" s="98"/>
      <c r="X613" s="98"/>
      <c r="Y613" s="98"/>
      <c r="Z613" s="98"/>
      <c r="AA613" s="98"/>
      <c r="AB613" s="98"/>
      <c r="AC613" s="98"/>
    </row>
    <row r="614">
      <c r="A614" s="98"/>
      <c r="B614" s="98"/>
      <c r="C614" s="98"/>
      <c r="D614" s="98"/>
      <c r="E614" s="121"/>
      <c r="F614" s="98"/>
      <c r="G614" s="98"/>
      <c r="H614" s="98"/>
      <c r="I614" s="98"/>
      <c r="J614" s="98"/>
      <c r="K614" s="98"/>
      <c r="L614" s="98"/>
      <c r="M614" s="98"/>
      <c r="N614" s="98"/>
      <c r="O614" s="98"/>
      <c r="P614" s="98"/>
      <c r="Q614" s="98"/>
      <c r="R614" s="98"/>
      <c r="S614" s="98"/>
      <c r="T614" s="98"/>
      <c r="U614" s="98"/>
      <c r="V614" s="98"/>
      <c r="W614" s="98"/>
      <c r="X614" s="98"/>
      <c r="Y614" s="98"/>
      <c r="Z614" s="98"/>
      <c r="AA614" s="98"/>
      <c r="AB614" s="98"/>
      <c r="AC614" s="98"/>
    </row>
    <row r="615">
      <c r="A615" s="98"/>
      <c r="B615" s="98"/>
      <c r="C615" s="98"/>
      <c r="D615" s="98"/>
      <c r="E615" s="121"/>
      <c r="F615" s="98"/>
      <c r="G615" s="98"/>
      <c r="H615" s="98"/>
      <c r="I615" s="98"/>
      <c r="J615" s="98"/>
      <c r="K615" s="98"/>
      <c r="L615" s="98"/>
      <c r="M615" s="98"/>
      <c r="N615" s="98"/>
      <c r="O615" s="98"/>
      <c r="P615" s="98"/>
      <c r="Q615" s="98"/>
      <c r="R615" s="98"/>
      <c r="S615" s="98"/>
      <c r="T615" s="98"/>
      <c r="U615" s="98"/>
      <c r="V615" s="98"/>
      <c r="W615" s="98"/>
      <c r="X615" s="98"/>
      <c r="Y615" s="98"/>
      <c r="Z615" s="98"/>
      <c r="AA615" s="98"/>
      <c r="AB615" s="98"/>
      <c r="AC615" s="98"/>
    </row>
    <row r="616">
      <c r="A616" s="98"/>
      <c r="B616" s="98"/>
      <c r="C616" s="98"/>
      <c r="D616" s="98"/>
      <c r="E616" s="121"/>
      <c r="F616" s="98"/>
      <c r="G616" s="98"/>
      <c r="H616" s="98"/>
      <c r="I616" s="98"/>
      <c r="J616" s="98"/>
      <c r="K616" s="98"/>
      <c r="L616" s="98"/>
      <c r="M616" s="98"/>
      <c r="N616" s="98"/>
      <c r="O616" s="98"/>
      <c r="P616" s="98"/>
      <c r="Q616" s="98"/>
      <c r="R616" s="98"/>
      <c r="S616" s="98"/>
      <c r="T616" s="98"/>
      <c r="U616" s="98"/>
      <c r="V616" s="98"/>
      <c r="W616" s="98"/>
      <c r="X616" s="98"/>
      <c r="Y616" s="98"/>
      <c r="Z616" s="98"/>
      <c r="AA616" s="98"/>
      <c r="AB616" s="98"/>
      <c r="AC616" s="98"/>
    </row>
    <row r="617">
      <c r="A617" s="98"/>
      <c r="B617" s="98"/>
      <c r="C617" s="98"/>
      <c r="D617" s="98"/>
      <c r="E617" s="121"/>
      <c r="F617" s="98"/>
      <c r="G617" s="98"/>
      <c r="H617" s="98"/>
      <c r="I617" s="98"/>
      <c r="J617" s="98"/>
      <c r="K617" s="98"/>
      <c r="L617" s="98"/>
      <c r="M617" s="98"/>
      <c r="N617" s="98"/>
      <c r="O617" s="98"/>
      <c r="P617" s="98"/>
      <c r="Q617" s="98"/>
      <c r="R617" s="98"/>
      <c r="S617" s="98"/>
      <c r="T617" s="98"/>
      <c r="U617" s="98"/>
      <c r="V617" s="98"/>
      <c r="W617" s="98"/>
      <c r="X617" s="98"/>
      <c r="Y617" s="98"/>
      <c r="Z617" s="98"/>
      <c r="AA617" s="98"/>
      <c r="AB617" s="98"/>
      <c r="AC617" s="98"/>
    </row>
    <row r="618">
      <c r="A618" s="98"/>
      <c r="B618" s="98"/>
      <c r="C618" s="98"/>
      <c r="D618" s="98"/>
      <c r="E618" s="121"/>
      <c r="F618" s="98"/>
      <c r="G618" s="98"/>
      <c r="H618" s="98"/>
      <c r="I618" s="98"/>
      <c r="J618" s="98"/>
      <c r="K618" s="98"/>
      <c r="L618" s="98"/>
      <c r="M618" s="98"/>
      <c r="N618" s="98"/>
      <c r="O618" s="98"/>
      <c r="P618" s="98"/>
      <c r="Q618" s="98"/>
      <c r="R618" s="98"/>
      <c r="S618" s="98"/>
      <c r="T618" s="98"/>
      <c r="U618" s="98"/>
      <c r="V618" s="98"/>
      <c r="W618" s="98"/>
      <c r="X618" s="98"/>
      <c r="Y618" s="98"/>
      <c r="Z618" s="98"/>
      <c r="AA618" s="98"/>
      <c r="AB618" s="98"/>
      <c r="AC618" s="98"/>
    </row>
    <row r="619">
      <c r="A619" s="98"/>
      <c r="B619" s="98"/>
      <c r="C619" s="98"/>
      <c r="D619" s="98"/>
      <c r="E619" s="121"/>
      <c r="F619" s="98"/>
      <c r="G619" s="98"/>
      <c r="H619" s="98"/>
      <c r="I619" s="98"/>
      <c r="J619" s="98"/>
      <c r="K619" s="98"/>
      <c r="L619" s="98"/>
      <c r="M619" s="98"/>
      <c r="N619" s="98"/>
      <c r="O619" s="98"/>
      <c r="P619" s="98"/>
      <c r="Q619" s="98"/>
      <c r="R619" s="98"/>
      <c r="S619" s="98"/>
      <c r="T619" s="98"/>
      <c r="U619" s="98"/>
      <c r="V619" s="98"/>
      <c r="W619" s="98"/>
      <c r="X619" s="98"/>
      <c r="Y619" s="98"/>
      <c r="Z619" s="98"/>
      <c r="AA619" s="98"/>
      <c r="AB619" s="98"/>
      <c r="AC619" s="98"/>
    </row>
    <row r="620">
      <c r="A620" s="98"/>
      <c r="B620" s="98"/>
      <c r="C620" s="98"/>
      <c r="D620" s="98"/>
      <c r="E620" s="121"/>
      <c r="F620" s="98"/>
      <c r="G620" s="98"/>
      <c r="H620" s="98"/>
      <c r="I620" s="98"/>
      <c r="J620" s="98"/>
      <c r="K620" s="98"/>
      <c r="L620" s="98"/>
      <c r="M620" s="98"/>
      <c r="N620" s="98"/>
      <c r="O620" s="98"/>
      <c r="P620" s="98"/>
      <c r="Q620" s="98"/>
      <c r="R620" s="98"/>
      <c r="S620" s="98"/>
      <c r="T620" s="98"/>
      <c r="U620" s="98"/>
      <c r="V620" s="98"/>
      <c r="W620" s="98"/>
      <c r="X620" s="98"/>
      <c r="Y620" s="98"/>
      <c r="Z620" s="98"/>
      <c r="AA620" s="98"/>
      <c r="AB620" s="98"/>
      <c r="AC620" s="98"/>
    </row>
    <row r="621">
      <c r="A621" s="98"/>
      <c r="B621" s="98"/>
      <c r="C621" s="98"/>
      <c r="D621" s="98"/>
      <c r="E621" s="121"/>
      <c r="F621" s="98"/>
      <c r="G621" s="98"/>
      <c r="H621" s="98"/>
      <c r="I621" s="98"/>
      <c r="J621" s="98"/>
      <c r="K621" s="98"/>
      <c r="L621" s="98"/>
      <c r="M621" s="98"/>
      <c r="N621" s="98"/>
      <c r="O621" s="98"/>
      <c r="P621" s="98"/>
      <c r="Q621" s="98"/>
      <c r="R621" s="98"/>
      <c r="S621" s="98"/>
      <c r="T621" s="98"/>
      <c r="U621" s="98"/>
      <c r="V621" s="98"/>
      <c r="W621" s="98"/>
      <c r="X621" s="98"/>
      <c r="Y621" s="98"/>
      <c r="Z621" s="98"/>
      <c r="AA621" s="98"/>
      <c r="AB621" s="98"/>
      <c r="AC621" s="98"/>
    </row>
    <row r="622">
      <c r="A622" s="98"/>
      <c r="B622" s="98"/>
      <c r="C622" s="98"/>
      <c r="D622" s="98"/>
      <c r="E622" s="121"/>
      <c r="F622" s="98"/>
      <c r="G622" s="98"/>
      <c r="H622" s="98"/>
      <c r="I622" s="98"/>
      <c r="J622" s="98"/>
      <c r="K622" s="98"/>
      <c r="L622" s="98"/>
      <c r="M622" s="98"/>
      <c r="N622" s="98"/>
      <c r="O622" s="98"/>
      <c r="P622" s="98"/>
      <c r="Q622" s="98"/>
      <c r="R622" s="98"/>
      <c r="S622" s="98"/>
      <c r="T622" s="98"/>
      <c r="U622" s="98"/>
      <c r="V622" s="98"/>
      <c r="W622" s="98"/>
      <c r="X622" s="98"/>
      <c r="Y622" s="98"/>
      <c r="Z622" s="98"/>
      <c r="AA622" s="98"/>
      <c r="AB622" s="98"/>
      <c r="AC622" s="98"/>
    </row>
    <row r="623">
      <c r="A623" s="98"/>
      <c r="B623" s="98"/>
      <c r="C623" s="98"/>
      <c r="D623" s="98"/>
      <c r="E623" s="121"/>
      <c r="F623" s="98"/>
      <c r="G623" s="98"/>
      <c r="H623" s="98"/>
      <c r="I623" s="98"/>
      <c r="J623" s="98"/>
      <c r="K623" s="98"/>
      <c r="L623" s="98"/>
      <c r="M623" s="98"/>
      <c r="N623" s="98"/>
      <c r="O623" s="98"/>
      <c r="P623" s="98"/>
      <c r="Q623" s="98"/>
      <c r="R623" s="98"/>
      <c r="S623" s="98"/>
      <c r="T623" s="98"/>
      <c r="U623" s="98"/>
      <c r="V623" s="98"/>
      <c r="W623" s="98"/>
      <c r="X623" s="98"/>
      <c r="Y623" s="98"/>
      <c r="Z623" s="98"/>
      <c r="AA623" s="98"/>
      <c r="AB623" s="98"/>
      <c r="AC623" s="98"/>
    </row>
    <row r="624">
      <c r="A624" s="98"/>
      <c r="B624" s="98"/>
      <c r="C624" s="98"/>
      <c r="D624" s="98"/>
      <c r="E624" s="121"/>
      <c r="F624" s="98"/>
      <c r="G624" s="98"/>
      <c r="H624" s="98"/>
      <c r="I624" s="98"/>
      <c r="J624" s="98"/>
      <c r="K624" s="98"/>
      <c r="L624" s="98"/>
      <c r="M624" s="98"/>
      <c r="N624" s="98"/>
      <c r="O624" s="98"/>
      <c r="P624" s="98"/>
      <c r="Q624" s="98"/>
      <c r="R624" s="98"/>
      <c r="S624" s="98"/>
      <c r="T624" s="98"/>
      <c r="U624" s="98"/>
      <c r="V624" s="98"/>
      <c r="W624" s="98"/>
      <c r="X624" s="98"/>
      <c r="Y624" s="98"/>
      <c r="Z624" s="98"/>
      <c r="AA624" s="98"/>
      <c r="AB624" s="98"/>
      <c r="AC624" s="98"/>
    </row>
    <row r="625">
      <c r="A625" s="98"/>
      <c r="B625" s="98"/>
      <c r="C625" s="98"/>
      <c r="D625" s="98"/>
      <c r="E625" s="121"/>
      <c r="F625" s="98"/>
      <c r="G625" s="98"/>
      <c r="H625" s="98"/>
      <c r="I625" s="98"/>
      <c r="J625" s="98"/>
      <c r="K625" s="98"/>
      <c r="L625" s="98"/>
      <c r="M625" s="98"/>
      <c r="N625" s="98"/>
      <c r="O625" s="98"/>
      <c r="P625" s="98"/>
      <c r="Q625" s="98"/>
      <c r="R625" s="98"/>
      <c r="S625" s="98"/>
      <c r="T625" s="98"/>
      <c r="U625" s="98"/>
      <c r="V625" s="98"/>
      <c r="W625" s="98"/>
      <c r="X625" s="98"/>
      <c r="Y625" s="98"/>
      <c r="Z625" s="98"/>
      <c r="AA625" s="98"/>
      <c r="AB625" s="98"/>
      <c r="AC625" s="98"/>
    </row>
    <row r="626">
      <c r="A626" s="98"/>
      <c r="B626" s="98"/>
      <c r="C626" s="98"/>
      <c r="D626" s="98"/>
      <c r="E626" s="121"/>
      <c r="F626" s="98"/>
      <c r="G626" s="98"/>
      <c r="H626" s="98"/>
      <c r="I626" s="98"/>
      <c r="J626" s="98"/>
      <c r="K626" s="98"/>
      <c r="L626" s="98"/>
      <c r="M626" s="98"/>
      <c r="N626" s="98"/>
      <c r="O626" s="98"/>
      <c r="P626" s="98"/>
      <c r="Q626" s="98"/>
      <c r="R626" s="98"/>
      <c r="S626" s="98"/>
      <c r="T626" s="98"/>
      <c r="U626" s="98"/>
      <c r="V626" s="98"/>
      <c r="W626" s="98"/>
      <c r="X626" s="98"/>
      <c r="Y626" s="98"/>
      <c r="Z626" s="98"/>
      <c r="AA626" s="98"/>
      <c r="AB626" s="98"/>
      <c r="AC626" s="98"/>
    </row>
    <row r="627">
      <c r="A627" s="98"/>
      <c r="B627" s="98"/>
      <c r="C627" s="98"/>
      <c r="D627" s="98"/>
      <c r="E627" s="121"/>
      <c r="F627" s="98"/>
      <c r="G627" s="98"/>
      <c r="H627" s="98"/>
      <c r="I627" s="98"/>
      <c r="J627" s="98"/>
      <c r="K627" s="98"/>
      <c r="L627" s="98"/>
      <c r="M627" s="98"/>
      <c r="N627" s="98"/>
      <c r="O627" s="98"/>
      <c r="P627" s="98"/>
      <c r="Q627" s="98"/>
      <c r="R627" s="98"/>
      <c r="S627" s="98"/>
      <c r="T627" s="98"/>
      <c r="U627" s="98"/>
      <c r="V627" s="98"/>
      <c r="W627" s="98"/>
      <c r="X627" s="98"/>
      <c r="Y627" s="98"/>
      <c r="Z627" s="98"/>
      <c r="AA627" s="98"/>
      <c r="AB627" s="98"/>
      <c r="AC627" s="98"/>
    </row>
    <row r="628">
      <c r="A628" s="98"/>
      <c r="B628" s="98"/>
      <c r="C628" s="98"/>
      <c r="D628" s="98"/>
      <c r="E628" s="121"/>
      <c r="F628" s="98"/>
      <c r="G628" s="98"/>
      <c r="H628" s="98"/>
      <c r="I628" s="98"/>
      <c r="J628" s="98"/>
      <c r="K628" s="98"/>
      <c r="L628" s="98"/>
      <c r="M628" s="98"/>
      <c r="N628" s="98"/>
      <c r="O628" s="98"/>
      <c r="P628" s="98"/>
      <c r="Q628" s="98"/>
      <c r="R628" s="98"/>
      <c r="S628" s="98"/>
      <c r="T628" s="98"/>
      <c r="U628" s="98"/>
      <c r="V628" s="98"/>
      <c r="W628" s="98"/>
      <c r="X628" s="98"/>
      <c r="Y628" s="98"/>
      <c r="Z628" s="98"/>
      <c r="AA628" s="98"/>
      <c r="AB628" s="98"/>
      <c r="AC628" s="98"/>
    </row>
    <row r="629">
      <c r="A629" s="98"/>
      <c r="B629" s="98"/>
      <c r="C629" s="98"/>
      <c r="D629" s="98"/>
      <c r="E629" s="121"/>
      <c r="F629" s="98"/>
      <c r="G629" s="98"/>
      <c r="H629" s="98"/>
      <c r="I629" s="98"/>
      <c r="J629" s="98"/>
      <c r="K629" s="98"/>
      <c r="L629" s="98"/>
      <c r="M629" s="98"/>
      <c r="N629" s="98"/>
      <c r="O629" s="98"/>
      <c r="P629" s="98"/>
      <c r="Q629" s="98"/>
      <c r="R629" s="98"/>
      <c r="S629" s="98"/>
      <c r="T629" s="98"/>
      <c r="U629" s="98"/>
      <c r="V629" s="98"/>
      <c r="W629" s="98"/>
      <c r="X629" s="98"/>
      <c r="Y629" s="98"/>
      <c r="Z629" s="98"/>
      <c r="AA629" s="98"/>
      <c r="AB629" s="98"/>
      <c r="AC629" s="98"/>
    </row>
    <row r="630">
      <c r="A630" s="98"/>
      <c r="B630" s="98"/>
      <c r="C630" s="98"/>
      <c r="D630" s="98"/>
      <c r="E630" s="121"/>
      <c r="F630" s="98"/>
      <c r="G630" s="98"/>
      <c r="H630" s="98"/>
      <c r="I630" s="98"/>
      <c r="J630" s="98"/>
      <c r="K630" s="98"/>
      <c r="L630" s="98"/>
      <c r="M630" s="98"/>
      <c r="N630" s="98"/>
      <c r="O630" s="98"/>
      <c r="P630" s="98"/>
      <c r="Q630" s="98"/>
      <c r="R630" s="98"/>
      <c r="S630" s="98"/>
      <c r="T630" s="98"/>
      <c r="U630" s="98"/>
      <c r="V630" s="98"/>
      <c r="W630" s="98"/>
      <c r="X630" s="98"/>
      <c r="Y630" s="98"/>
      <c r="Z630" s="98"/>
      <c r="AA630" s="98"/>
      <c r="AB630" s="98"/>
      <c r="AC630" s="98"/>
    </row>
    <row r="631">
      <c r="A631" s="98"/>
      <c r="B631" s="98"/>
      <c r="C631" s="98"/>
      <c r="D631" s="98"/>
      <c r="E631" s="121"/>
      <c r="F631" s="98"/>
      <c r="G631" s="98"/>
      <c r="H631" s="98"/>
      <c r="I631" s="98"/>
      <c r="J631" s="98"/>
      <c r="K631" s="98"/>
      <c r="L631" s="98"/>
      <c r="M631" s="98"/>
      <c r="N631" s="98"/>
      <c r="O631" s="98"/>
      <c r="P631" s="98"/>
      <c r="Q631" s="98"/>
      <c r="R631" s="98"/>
      <c r="S631" s="98"/>
      <c r="T631" s="98"/>
      <c r="U631" s="98"/>
      <c r="V631" s="98"/>
      <c r="W631" s="98"/>
      <c r="X631" s="98"/>
      <c r="Y631" s="98"/>
      <c r="Z631" s="98"/>
      <c r="AA631" s="98"/>
      <c r="AB631" s="98"/>
      <c r="AC631" s="98"/>
    </row>
    <row r="632">
      <c r="A632" s="98"/>
      <c r="B632" s="98"/>
      <c r="C632" s="98"/>
      <c r="D632" s="98"/>
      <c r="E632" s="121"/>
      <c r="F632" s="98"/>
      <c r="G632" s="98"/>
      <c r="H632" s="98"/>
      <c r="I632" s="98"/>
      <c r="J632" s="98"/>
      <c r="K632" s="98"/>
      <c r="L632" s="98"/>
      <c r="M632" s="98"/>
      <c r="N632" s="98"/>
      <c r="O632" s="98"/>
      <c r="P632" s="98"/>
      <c r="Q632" s="98"/>
      <c r="R632" s="98"/>
      <c r="S632" s="98"/>
      <c r="T632" s="98"/>
      <c r="U632" s="98"/>
      <c r="V632" s="98"/>
      <c r="W632" s="98"/>
      <c r="X632" s="98"/>
      <c r="Y632" s="98"/>
      <c r="Z632" s="98"/>
      <c r="AA632" s="98"/>
      <c r="AB632" s="98"/>
      <c r="AC632" s="98"/>
    </row>
    <row r="633">
      <c r="A633" s="98"/>
      <c r="B633" s="98"/>
      <c r="C633" s="98"/>
      <c r="D633" s="98"/>
      <c r="E633" s="121"/>
      <c r="F633" s="98"/>
      <c r="G633" s="98"/>
      <c r="H633" s="98"/>
      <c r="I633" s="98"/>
      <c r="J633" s="98"/>
      <c r="K633" s="98"/>
      <c r="L633" s="98"/>
      <c r="M633" s="98"/>
      <c r="N633" s="98"/>
      <c r="O633" s="98"/>
      <c r="P633" s="98"/>
      <c r="Q633" s="98"/>
      <c r="R633" s="98"/>
      <c r="S633" s="98"/>
      <c r="T633" s="98"/>
      <c r="U633" s="98"/>
      <c r="V633" s="98"/>
      <c r="W633" s="98"/>
      <c r="X633" s="98"/>
      <c r="Y633" s="98"/>
      <c r="Z633" s="98"/>
      <c r="AA633" s="98"/>
      <c r="AB633" s="98"/>
      <c r="AC633" s="98"/>
    </row>
    <row r="634">
      <c r="A634" s="98"/>
      <c r="B634" s="98"/>
      <c r="C634" s="98"/>
      <c r="D634" s="98"/>
      <c r="E634" s="121"/>
      <c r="F634" s="98"/>
      <c r="G634" s="98"/>
      <c r="H634" s="98"/>
      <c r="I634" s="98"/>
      <c r="J634" s="98"/>
      <c r="K634" s="98"/>
      <c r="L634" s="98"/>
      <c r="M634" s="98"/>
      <c r="N634" s="98"/>
      <c r="O634" s="98"/>
      <c r="P634" s="98"/>
      <c r="Q634" s="98"/>
      <c r="R634" s="98"/>
      <c r="S634" s="98"/>
      <c r="T634" s="98"/>
      <c r="U634" s="98"/>
      <c r="V634" s="98"/>
      <c r="W634" s="98"/>
      <c r="X634" s="98"/>
      <c r="Y634" s="98"/>
      <c r="Z634" s="98"/>
      <c r="AA634" s="98"/>
      <c r="AB634" s="98"/>
      <c r="AC634" s="98"/>
    </row>
    <row r="635">
      <c r="A635" s="98"/>
      <c r="B635" s="98"/>
      <c r="C635" s="98"/>
      <c r="D635" s="98"/>
      <c r="E635" s="121"/>
      <c r="F635" s="98"/>
      <c r="G635" s="98"/>
      <c r="H635" s="98"/>
      <c r="I635" s="98"/>
      <c r="J635" s="98"/>
      <c r="K635" s="98"/>
      <c r="L635" s="98"/>
      <c r="M635" s="98"/>
      <c r="N635" s="98"/>
      <c r="O635" s="98"/>
      <c r="P635" s="98"/>
      <c r="Q635" s="98"/>
      <c r="R635" s="98"/>
      <c r="S635" s="98"/>
      <c r="T635" s="98"/>
      <c r="U635" s="98"/>
      <c r="V635" s="98"/>
      <c r="W635" s="98"/>
      <c r="X635" s="98"/>
      <c r="Y635" s="98"/>
      <c r="Z635" s="98"/>
      <c r="AA635" s="98"/>
      <c r="AB635" s="98"/>
      <c r="AC635" s="98"/>
    </row>
    <row r="636">
      <c r="A636" s="98"/>
      <c r="B636" s="98"/>
      <c r="C636" s="98"/>
      <c r="D636" s="98"/>
      <c r="E636" s="121"/>
      <c r="F636" s="98"/>
      <c r="G636" s="98"/>
      <c r="H636" s="98"/>
      <c r="I636" s="98"/>
      <c r="J636" s="98"/>
      <c r="K636" s="98"/>
      <c r="L636" s="98"/>
      <c r="M636" s="98"/>
      <c r="N636" s="98"/>
      <c r="O636" s="98"/>
      <c r="P636" s="98"/>
      <c r="Q636" s="98"/>
      <c r="R636" s="98"/>
      <c r="S636" s="98"/>
      <c r="T636" s="98"/>
      <c r="U636" s="98"/>
      <c r="V636" s="98"/>
      <c r="W636" s="98"/>
      <c r="X636" s="98"/>
      <c r="Y636" s="98"/>
      <c r="Z636" s="98"/>
      <c r="AA636" s="98"/>
      <c r="AB636" s="98"/>
      <c r="AC636" s="98"/>
    </row>
    <row r="637">
      <c r="A637" s="98"/>
      <c r="B637" s="98"/>
      <c r="C637" s="98"/>
      <c r="D637" s="98"/>
      <c r="E637" s="121"/>
      <c r="F637" s="98"/>
      <c r="G637" s="98"/>
      <c r="H637" s="98"/>
      <c r="I637" s="98"/>
      <c r="J637" s="98"/>
      <c r="K637" s="98"/>
      <c r="L637" s="98"/>
      <c r="M637" s="98"/>
      <c r="N637" s="98"/>
      <c r="O637" s="98"/>
      <c r="P637" s="98"/>
      <c r="Q637" s="98"/>
      <c r="R637" s="98"/>
      <c r="S637" s="98"/>
      <c r="T637" s="98"/>
      <c r="U637" s="98"/>
      <c r="V637" s="98"/>
      <c r="W637" s="98"/>
      <c r="X637" s="98"/>
      <c r="Y637" s="98"/>
      <c r="Z637" s="98"/>
      <c r="AA637" s="98"/>
      <c r="AB637" s="98"/>
      <c r="AC637" s="98"/>
    </row>
    <row r="638">
      <c r="A638" s="98"/>
      <c r="B638" s="98"/>
      <c r="C638" s="98"/>
      <c r="D638" s="98"/>
      <c r="E638" s="121"/>
      <c r="F638" s="98"/>
      <c r="G638" s="98"/>
      <c r="H638" s="98"/>
      <c r="I638" s="98"/>
      <c r="J638" s="98"/>
      <c r="K638" s="98"/>
      <c r="L638" s="98"/>
      <c r="M638" s="98"/>
      <c r="N638" s="98"/>
      <c r="O638" s="98"/>
      <c r="P638" s="98"/>
      <c r="Q638" s="98"/>
      <c r="R638" s="98"/>
      <c r="S638" s="98"/>
      <c r="T638" s="98"/>
      <c r="U638" s="98"/>
      <c r="V638" s="98"/>
      <c r="W638" s="98"/>
      <c r="X638" s="98"/>
      <c r="Y638" s="98"/>
      <c r="Z638" s="98"/>
      <c r="AA638" s="98"/>
      <c r="AB638" s="98"/>
      <c r="AC638" s="98"/>
    </row>
    <row r="639">
      <c r="A639" s="98"/>
      <c r="B639" s="98"/>
      <c r="C639" s="98"/>
      <c r="D639" s="98"/>
      <c r="E639" s="121"/>
      <c r="F639" s="98"/>
      <c r="G639" s="98"/>
      <c r="H639" s="98"/>
      <c r="I639" s="98"/>
      <c r="J639" s="98"/>
      <c r="K639" s="98"/>
      <c r="L639" s="98"/>
      <c r="M639" s="98"/>
      <c r="N639" s="98"/>
      <c r="O639" s="98"/>
      <c r="P639" s="98"/>
      <c r="Q639" s="98"/>
      <c r="R639" s="98"/>
      <c r="S639" s="98"/>
      <c r="T639" s="98"/>
      <c r="U639" s="98"/>
      <c r="V639" s="98"/>
      <c r="W639" s="98"/>
      <c r="X639" s="98"/>
      <c r="Y639" s="98"/>
      <c r="Z639" s="98"/>
      <c r="AA639" s="98"/>
      <c r="AB639" s="98"/>
      <c r="AC639" s="98"/>
    </row>
    <row r="640">
      <c r="A640" s="98"/>
      <c r="B640" s="98"/>
      <c r="C640" s="98"/>
      <c r="D640" s="98"/>
      <c r="E640" s="121"/>
      <c r="F640" s="98"/>
      <c r="G640" s="98"/>
      <c r="H640" s="98"/>
      <c r="I640" s="98"/>
      <c r="J640" s="98"/>
      <c r="K640" s="98"/>
      <c r="L640" s="98"/>
      <c r="M640" s="98"/>
      <c r="N640" s="98"/>
      <c r="O640" s="98"/>
      <c r="P640" s="98"/>
      <c r="Q640" s="98"/>
      <c r="R640" s="98"/>
      <c r="S640" s="98"/>
      <c r="T640" s="98"/>
      <c r="U640" s="98"/>
      <c r="V640" s="98"/>
      <c r="W640" s="98"/>
      <c r="X640" s="98"/>
      <c r="Y640" s="98"/>
      <c r="Z640" s="98"/>
      <c r="AA640" s="98"/>
      <c r="AB640" s="98"/>
      <c r="AC640" s="98"/>
    </row>
    <row r="641">
      <c r="A641" s="98"/>
      <c r="B641" s="98"/>
      <c r="C641" s="98"/>
      <c r="D641" s="98"/>
      <c r="E641" s="121"/>
      <c r="F641" s="98"/>
      <c r="G641" s="98"/>
      <c r="H641" s="98"/>
      <c r="I641" s="98"/>
      <c r="J641" s="98"/>
      <c r="K641" s="98"/>
      <c r="L641" s="98"/>
      <c r="M641" s="98"/>
      <c r="N641" s="98"/>
      <c r="O641" s="98"/>
      <c r="P641" s="98"/>
      <c r="Q641" s="98"/>
      <c r="R641" s="98"/>
      <c r="S641" s="98"/>
      <c r="T641" s="98"/>
      <c r="U641" s="98"/>
      <c r="V641" s="98"/>
      <c r="W641" s="98"/>
      <c r="X641" s="98"/>
      <c r="Y641" s="98"/>
      <c r="Z641" s="98"/>
      <c r="AA641" s="98"/>
      <c r="AB641" s="98"/>
      <c r="AC641" s="98"/>
    </row>
    <row r="642">
      <c r="A642" s="98"/>
      <c r="B642" s="98"/>
      <c r="C642" s="98"/>
      <c r="D642" s="98"/>
      <c r="E642" s="121"/>
      <c r="F642" s="98"/>
      <c r="G642" s="98"/>
      <c r="H642" s="98"/>
      <c r="I642" s="98"/>
      <c r="J642" s="98"/>
      <c r="K642" s="98"/>
      <c r="L642" s="98"/>
      <c r="M642" s="98"/>
      <c r="N642" s="98"/>
      <c r="O642" s="98"/>
      <c r="P642" s="98"/>
      <c r="Q642" s="98"/>
      <c r="R642" s="98"/>
      <c r="S642" s="98"/>
      <c r="T642" s="98"/>
      <c r="U642" s="98"/>
      <c r="V642" s="98"/>
      <c r="W642" s="98"/>
      <c r="X642" s="98"/>
      <c r="Y642" s="98"/>
      <c r="Z642" s="98"/>
      <c r="AA642" s="98"/>
      <c r="AB642" s="98"/>
      <c r="AC642" s="98"/>
    </row>
    <row r="643">
      <c r="A643" s="98"/>
      <c r="B643" s="98"/>
      <c r="C643" s="98"/>
      <c r="D643" s="98"/>
      <c r="E643" s="121"/>
      <c r="F643" s="98"/>
      <c r="G643" s="98"/>
      <c r="H643" s="98"/>
      <c r="I643" s="98"/>
      <c r="J643" s="98"/>
      <c r="K643" s="98"/>
      <c r="L643" s="98"/>
      <c r="M643" s="98"/>
      <c r="N643" s="98"/>
      <c r="O643" s="98"/>
      <c r="P643" s="98"/>
      <c r="Q643" s="98"/>
      <c r="R643" s="98"/>
      <c r="S643" s="98"/>
      <c r="T643" s="98"/>
      <c r="U643" s="98"/>
      <c r="V643" s="98"/>
      <c r="W643" s="98"/>
      <c r="X643" s="98"/>
      <c r="Y643" s="98"/>
      <c r="Z643" s="98"/>
      <c r="AA643" s="98"/>
      <c r="AB643" s="98"/>
      <c r="AC643" s="98"/>
    </row>
    <row r="644">
      <c r="A644" s="98"/>
      <c r="B644" s="98"/>
      <c r="C644" s="98"/>
      <c r="D644" s="98"/>
      <c r="E644" s="121"/>
      <c r="F644" s="98"/>
      <c r="G644" s="98"/>
      <c r="H644" s="98"/>
      <c r="I644" s="98"/>
      <c r="J644" s="98"/>
      <c r="K644" s="98"/>
      <c r="L644" s="98"/>
      <c r="M644" s="98"/>
      <c r="N644" s="98"/>
      <c r="O644" s="98"/>
      <c r="P644" s="98"/>
      <c r="Q644" s="98"/>
      <c r="R644" s="98"/>
      <c r="S644" s="98"/>
      <c r="T644" s="98"/>
      <c r="U644" s="98"/>
      <c r="V644" s="98"/>
      <c r="W644" s="98"/>
      <c r="X644" s="98"/>
      <c r="Y644" s="98"/>
      <c r="Z644" s="98"/>
      <c r="AA644" s="98"/>
      <c r="AB644" s="98"/>
      <c r="AC644" s="98"/>
    </row>
    <row r="645">
      <c r="A645" s="98"/>
      <c r="B645" s="98"/>
      <c r="C645" s="98"/>
      <c r="D645" s="98"/>
      <c r="E645" s="121"/>
      <c r="F645" s="98"/>
      <c r="G645" s="98"/>
      <c r="H645" s="98"/>
      <c r="I645" s="98"/>
      <c r="J645" s="98"/>
      <c r="K645" s="98"/>
      <c r="L645" s="98"/>
      <c r="M645" s="98"/>
      <c r="N645" s="98"/>
      <c r="O645" s="98"/>
      <c r="P645" s="98"/>
      <c r="Q645" s="98"/>
      <c r="R645" s="98"/>
      <c r="S645" s="98"/>
      <c r="T645" s="98"/>
      <c r="U645" s="98"/>
      <c r="V645" s="98"/>
      <c r="W645" s="98"/>
      <c r="X645" s="98"/>
      <c r="Y645" s="98"/>
      <c r="Z645" s="98"/>
      <c r="AA645" s="98"/>
      <c r="AB645" s="98"/>
      <c r="AC645" s="98"/>
    </row>
    <row r="646">
      <c r="A646" s="98"/>
      <c r="B646" s="98"/>
      <c r="C646" s="98"/>
      <c r="D646" s="98"/>
      <c r="E646" s="121"/>
      <c r="F646" s="98"/>
      <c r="G646" s="98"/>
      <c r="H646" s="98"/>
      <c r="I646" s="98"/>
      <c r="J646" s="98"/>
      <c r="K646" s="98"/>
      <c r="L646" s="98"/>
      <c r="M646" s="98"/>
      <c r="N646" s="98"/>
      <c r="O646" s="98"/>
      <c r="P646" s="98"/>
      <c r="Q646" s="98"/>
      <c r="R646" s="98"/>
      <c r="S646" s="98"/>
      <c r="T646" s="98"/>
      <c r="U646" s="98"/>
      <c r="V646" s="98"/>
      <c r="W646" s="98"/>
      <c r="X646" s="98"/>
      <c r="Y646" s="98"/>
      <c r="Z646" s="98"/>
      <c r="AA646" s="98"/>
      <c r="AB646" s="98"/>
      <c r="AC646" s="98"/>
    </row>
    <row r="647">
      <c r="A647" s="98"/>
      <c r="B647" s="98"/>
      <c r="C647" s="98"/>
      <c r="D647" s="98"/>
      <c r="E647" s="121"/>
      <c r="F647" s="98"/>
      <c r="G647" s="98"/>
      <c r="H647" s="98"/>
      <c r="I647" s="98"/>
      <c r="J647" s="98"/>
      <c r="K647" s="98"/>
      <c r="L647" s="98"/>
      <c r="M647" s="98"/>
      <c r="N647" s="98"/>
      <c r="O647" s="98"/>
      <c r="P647" s="98"/>
      <c r="Q647" s="98"/>
      <c r="R647" s="98"/>
      <c r="S647" s="98"/>
      <c r="T647" s="98"/>
      <c r="U647" s="98"/>
      <c r="V647" s="98"/>
      <c r="W647" s="98"/>
      <c r="X647" s="98"/>
      <c r="Y647" s="98"/>
      <c r="Z647" s="98"/>
      <c r="AA647" s="98"/>
      <c r="AB647" s="98"/>
      <c r="AC647" s="98"/>
    </row>
    <row r="648">
      <c r="A648" s="98"/>
      <c r="B648" s="98"/>
      <c r="C648" s="98"/>
      <c r="D648" s="98"/>
      <c r="E648" s="121"/>
      <c r="F648" s="98"/>
      <c r="G648" s="98"/>
      <c r="H648" s="98"/>
      <c r="I648" s="98"/>
      <c r="J648" s="98"/>
      <c r="K648" s="98"/>
      <c r="L648" s="98"/>
      <c r="M648" s="98"/>
      <c r="N648" s="98"/>
      <c r="O648" s="98"/>
      <c r="P648" s="98"/>
      <c r="Q648" s="98"/>
      <c r="R648" s="98"/>
      <c r="S648" s="98"/>
      <c r="T648" s="98"/>
      <c r="U648" s="98"/>
      <c r="V648" s="98"/>
      <c r="W648" s="98"/>
      <c r="X648" s="98"/>
      <c r="Y648" s="98"/>
      <c r="Z648" s="98"/>
      <c r="AA648" s="98"/>
      <c r="AB648" s="98"/>
      <c r="AC648" s="98"/>
    </row>
    <row r="649">
      <c r="A649" s="98"/>
      <c r="B649" s="98"/>
      <c r="C649" s="98"/>
      <c r="D649" s="98"/>
      <c r="E649" s="121"/>
      <c r="F649" s="98"/>
      <c r="G649" s="98"/>
      <c r="H649" s="98"/>
      <c r="I649" s="98"/>
      <c r="J649" s="98"/>
      <c r="K649" s="98"/>
      <c r="L649" s="98"/>
      <c r="M649" s="98"/>
      <c r="N649" s="98"/>
      <c r="O649" s="98"/>
      <c r="P649" s="98"/>
      <c r="Q649" s="98"/>
      <c r="R649" s="98"/>
      <c r="S649" s="98"/>
      <c r="T649" s="98"/>
      <c r="U649" s="98"/>
      <c r="V649" s="98"/>
      <c r="W649" s="98"/>
      <c r="X649" s="98"/>
      <c r="Y649" s="98"/>
      <c r="Z649" s="98"/>
      <c r="AA649" s="98"/>
      <c r="AB649" s="98"/>
      <c r="AC649" s="98"/>
    </row>
    <row r="650">
      <c r="A650" s="98"/>
      <c r="B650" s="98"/>
      <c r="C650" s="98"/>
      <c r="D650" s="98"/>
      <c r="E650" s="121"/>
      <c r="F650" s="98"/>
      <c r="G650" s="98"/>
      <c r="H650" s="98"/>
      <c r="I650" s="98"/>
      <c r="J650" s="98"/>
      <c r="K650" s="98"/>
      <c r="L650" s="98"/>
      <c r="M650" s="98"/>
      <c r="N650" s="98"/>
      <c r="O650" s="98"/>
      <c r="P650" s="98"/>
      <c r="Q650" s="98"/>
      <c r="R650" s="98"/>
      <c r="S650" s="98"/>
      <c r="T650" s="98"/>
      <c r="U650" s="98"/>
      <c r="V650" s="98"/>
      <c r="W650" s="98"/>
      <c r="X650" s="98"/>
      <c r="Y650" s="98"/>
      <c r="Z650" s="98"/>
      <c r="AA650" s="98"/>
      <c r="AB650" s="98"/>
      <c r="AC650" s="98"/>
    </row>
    <row r="651">
      <c r="A651" s="98"/>
      <c r="B651" s="98"/>
      <c r="C651" s="98"/>
      <c r="D651" s="98"/>
      <c r="E651" s="121"/>
      <c r="F651" s="98"/>
      <c r="G651" s="98"/>
      <c r="H651" s="98"/>
      <c r="I651" s="98"/>
      <c r="J651" s="98"/>
      <c r="K651" s="98"/>
      <c r="L651" s="98"/>
      <c r="M651" s="98"/>
      <c r="N651" s="98"/>
      <c r="O651" s="98"/>
      <c r="P651" s="98"/>
      <c r="Q651" s="98"/>
      <c r="R651" s="98"/>
      <c r="S651" s="98"/>
      <c r="T651" s="98"/>
      <c r="U651" s="98"/>
      <c r="V651" s="98"/>
      <c r="W651" s="98"/>
      <c r="X651" s="98"/>
      <c r="Y651" s="98"/>
      <c r="Z651" s="98"/>
      <c r="AA651" s="98"/>
      <c r="AB651" s="98"/>
      <c r="AC651" s="98"/>
    </row>
    <row r="652">
      <c r="A652" s="98"/>
      <c r="B652" s="98"/>
      <c r="C652" s="98"/>
      <c r="D652" s="98"/>
      <c r="E652" s="121"/>
      <c r="F652" s="98"/>
      <c r="G652" s="98"/>
      <c r="H652" s="98"/>
      <c r="I652" s="98"/>
      <c r="J652" s="98"/>
      <c r="K652" s="98"/>
      <c r="L652" s="98"/>
      <c r="M652" s="98"/>
      <c r="N652" s="98"/>
      <c r="O652" s="98"/>
      <c r="P652" s="98"/>
      <c r="Q652" s="98"/>
      <c r="R652" s="98"/>
      <c r="S652" s="98"/>
      <c r="T652" s="98"/>
      <c r="U652" s="98"/>
      <c r="V652" s="98"/>
      <c r="W652" s="98"/>
      <c r="X652" s="98"/>
      <c r="Y652" s="98"/>
      <c r="Z652" s="98"/>
      <c r="AA652" s="98"/>
      <c r="AB652" s="98"/>
      <c r="AC652" s="98"/>
    </row>
    <row r="653">
      <c r="A653" s="98"/>
      <c r="B653" s="98"/>
      <c r="C653" s="98"/>
      <c r="D653" s="98"/>
      <c r="E653" s="121"/>
      <c r="F653" s="98"/>
      <c r="G653" s="98"/>
      <c r="H653" s="98"/>
      <c r="I653" s="98"/>
      <c r="J653" s="98"/>
      <c r="K653" s="98"/>
      <c r="L653" s="98"/>
      <c r="M653" s="98"/>
      <c r="N653" s="98"/>
      <c r="O653" s="98"/>
      <c r="P653" s="98"/>
      <c r="Q653" s="98"/>
      <c r="R653" s="98"/>
      <c r="S653" s="98"/>
      <c r="T653" s="98"/>
      <c r="U653" s="98"/>
      <c r="V653" s="98"/>
      <c r="W653" s="98"/>
      <c r="X653" s="98"/>
      <c r="Y653" s="98"/>
      <c r="Z653" s="98"/>
      <c r="AA653" s="98"/>
      <c r="AB653" s="98"/>
      <c r="AC653" s="98"/>
    </row>
    <row r="654">
      <c r="A654" s="98"/>
      <c r="B654" s="98"/>
      <c r="C654" s="98"/>
      <c r="D654" s="98"/>
      <c r="E654" s="121"/>
      <c r="F654" s="98"/>
      <c r="G654" s="98"/>
      <c r="H654" s="98"/>
      <c r="I654" s="98"/>
      <c r="J654" s="98"/>
      <c r="K654" s="98"/>
      <c r="L654" s="98"/>
      <c r="M654" s="98"/>
      <c r="N654" s="98"/>
      <c r="O654" s="98"/>
      <c r="P654" s="98"/>
      <c r="Q654" s="98"/>
      <c r="R654" s="98"/>
      <c r="S654" s="98"/>
      <c r="T654" s="98"/>
      <c r="U654" s="98"/>
      <c r="V654" s="98"/>
      <c r="W654" s="98"/>
      <c r="X654" s="98"/>
      <c r="Y654" s="98"/>
      <c r="Z654" s="98"/>
      <c r="AA654" s="98"/>
      <c r="AB654" s="98"/>
      <c r="AC654" s="98"/>
    </row>
    <row r="655">
      <c r="A655" s="98"/>
      <c r="B655" s="98"/>
      <c r="C655" s="98"/>
      <c r="D655" s="98"/>
      <c r="E655" s="121"/>
      <c r="F655" s="98"/>
      <c r="G655" s="98"/>
      <c r="H655" s="98"/>
      <c r="I655" s="98"/>
      <c r="J655" s="98"/>
      <c r="K655" s="98"/>
      <c r="L655" s="98"/>
      <c r="M655" s="98"/>
      <c r="N655" s="98"/>
      <c r="O655" s="98"/>
      <c r="P655" s="98"/>
      <c r="Q655" s="98"/>
      <c r="R655" s="98"/>
      <c r="S655" s="98"/>
      <c r="T655" s="98"/>
      <c r="U655" s="98"/>
      <c r="V655" s="98"/>
      <c r="W655" s="98"/>
      <c r="X655" s="98"/>
      <c r="Y655" s="98"/>
      <c r="Z655" s="98"/>
      <c r="AA655" s="98"/>
      <c r="AB655" s="98"/>
      <c r="AC655" s="98"/>
    </row>
    <row r="656">
      <c r="A656" s="98"/>
      <c r="B656" s="98"/>
      <c r="C656" s="98"/>
      <c r="D656" s="98"/>
      <c r="E656" s="121"/>
      <c r="F656" s="98"/>
      <c r="G656" s="98"/>
      <c r="H656" s="98"/>
      <c r="I656" s="98"/>
      <c r="J656" s="98"/>
      <c r="K656" s="98"/>
      <c r="L656" s="98"/>
      <c r="M656" s="98"/>
      <c r="N656" s="98"/>
      <c r="O656" s="98"/>
      <c r="P656" s="98"/>
      <c r="Q656" s="98"/>
      <c r="R656" s="98"/>
      <c r="S656" s="98"/>
      <c r="T656" s="98"/>
      <c r="U656" s="98"/>
      <c r="V656" s="98"/>
      <c r="W656" s="98"/>
      <c r="X656" s="98"/>
      <c r="Y656" s="98"/>
      <c r="Z656" s="98"/>
      <c r="AA656" s="98"/>
      <c r="AB656" s="98"/>
      <c r="AC656" s="98"/>
    </row>
    <row r="657">
      <c r="A657" s="98"/>
      <c r="B657" s="98"/>
      <c r="C657" s="98"/>
      <c r="D657" s="98"/>
      <c r="E657" s="121"/>
      <c r="F657" s="98"/>
      <c r="G657" s="98"/>
      <c r="H657" s="98"/>
      <c r="I657" s="98"/>
      <c r="J657" s="98"/>
      <c r="K657" s="98"/>
      <c r="L657" s="98"/>
      <c r="M657" s="98"/>
      <c r="N657" s="98"/>
      <c r="O657" s="98"/>
      <c r="P657" s="98"/>
      <c r="Q657" s="98"/>
      <c r="R657" s="98"/>
      <c r="S657" s="98"/>
      <c r="T657" s="98"/>
      <c r="U657" s="98"/>
      <c r="V657" s="98"/>
      <c r="W657" s="98"/>
      <c r="X657" s="98"/>
      <c r="Y657" s="98"/>
      <c r="Z657" s="98"/>
      <c r="AA657" s="98"/>
      <c r="AB657" s="98"/>
      <c r="AC657" s="98"/>
    </row>
    <row r="658">
      <c r="A658" s="98"/>
      <c r="B658" s="98"/>
      <c r="C658" s="98"/>
      <c r="D658" s="98"/>
      <c r="E658" s="121"/>
      <c r="F658" s="98"/>
      <c r="G658" s="98"/>
      <c r="H658" s="98"/>
      <c r="I658" s="98"/>
      <c r="J658" s="98"/>
      <c r="K658" s="98"/>
      <c r="L658" s="98"/>
      <c r="M658" s="98"/>
      <c r="N658" s="98"/>
      <c r="O658" s="98"/>
      <c r="P658" s="98"/>
      <c r="Q658" s="98"/>
      <c r="R658" s="98"/>
      <c r="S658" s="98"/>
      <c r="T658" s="98"/>
      <c r="U658" s="98"/>
      <c r="V658" s="98"/>
      <c r="W658" s="98"/>
      <c r="X658" s="98"/>
      <c r="Y658" s="98"/>
      <c r="Z658" s="98"/>
      <c r="AA658" s="98"/>
      <c r="AB658" s="98"/>
      <c r="AC658" s="98"/>
    </row>
    <row r="659">
      <c r="A659" s="98"/>
      <c r="B659" s="98"/>
      <c r="C659" s="98"/>
      <c r="D659" s="98"/>
      <c r="E659" s="121"/>
      <c r="F659" s="98"/>
      <c r="G659" s="98"/>
      <c r="H659" s="98"/>
      <c r="I659" s="98"/>
      <c r="J659" s="98"/>
      <c r="K659" s="98"/>
      <c r="L659" s="98"/>
      <c r="M659" s="98"/>
      <c r="N659" s="98"/>
      <c r="O659" s="98"/>
      <c r="P659" s="98"/>
      <c r="Q659" s="98"/>
      <c r="R659" s="98"/>
      <c r="S659" s="98"/>
      <c r="T659" s="98"/>
      <c r="U659" s="98"/>
      <c r="V659" s="98"/>
      <c r="W659" s="98"/>
      <c r="X659" s="98"/>
      <c r="Y659" s="98"/>
      <c r="Z659" s="98"/>
      <c r="AA659" s="98"/>
      <c r="AB659" s="98"/>
      <c r="AC659" s="98"/>
    </row>
    <row r="660">
      <c r="A660" s="98"/>
      <c r="B660" s="98"/>
      <c r="C660" s="98"/>
      <c r="D660" s="98"/>
      <c r="E660" s="121"/>
      <c r="F660" s="98"/>
      <c r="G660" s="98"/>
      <c r="H660" s="98"/>
      <c r="I660" s="98"/>
      <c r="J660" s="98"/>
      <c r="K660" s="98"/>
      <c r="L660" s="98"/>
      <c r="M660" s="98"/>
      <c r="N660" s="98"/>
      <c r="O660" s="98"/>
      <c r="P660" s="98"/>
      <c r="Q660" s="98"/>
      <c r="R660" s="98"/>
      <c r="S660" s="98"/>
      <c r="T660" s="98"/>
      <c r="U660" s="98"/>
      <c r="V660" s="98"/>
      <c r="W660" s="98"/>
      <c r="X660" s="98"/>
      <c r="Y660" s="98"/>
      <c r="Z660" s="98"/>
      <c r="AA660" s="98"/>
      <c r="AB660" s="98"/>
      <c r="AC660" s="98"/>
    </row>
    <row r="661">
      <c r="A661" s="98"/>
      <c r="B661" s="98"/>
      <c r="C661" s="98"/>
      <c r="D661" s="98"/>
      <c r="E661" s="121"/>
      <c r="F661" s="98"/>
      <c r="G661" s="98"/>
      <c r="H661" s="98"/>
      <c r="I661" s="98"/>
      <c r="J661" s="98"/>
      <c r="K661" s="98"/>
      <c r="L661" s="98"/>
      <c r="M661" s="98"/>
      <c r="N661" s="98"/>
      <c r="O661" s="98"/>
      <c r="P661" s="98"/>
      <c r="Q661" s="98"/>
      <c r="R661" s="98"/>
      <c r="S661" s="98"/>
      <c r="T661" s="98"/>
      <c r="U661" s="98"/>
      <c r="V661" s="98"/>
      <c r="W661" s="98"/>
      <c r="X661" s="98"/>
      <c r="Y661" s="98"/>
      <c r="Z661" s="98"/>
      <c r="AA661" s="98"/>
      <c r="AB661" s="98"/>
      <c r="AC661" s="98"/>
    </row>
    <row r="662">
      <c r="A662" s="98"/>
      <c r="B662" s="98"/>
      <c r="C662" s="98"/>
      <c r="D662" s="98"/>
      <c r="E662" s="121"/>
      <c r="F662" s="98"/>
      <c r="G662" s="98"/>
      <c r="H662" s="98"/>
      <c r="I662" s="98"/>
      <c r="J662" s="98"/>
      <c r="K662" s="98"/>
      <c r="L662" s="98"/>
      <c r="M662" s="98"/>
      <c r="N662" s="98"/>
      <c r="O662" s="98"/>
      <c r="P662" s="98"/>
      <c r="Q662" s="98"/>
      <c r="R662" s="98"/>
      <c r="S662" s="98"/>
      <c r="T662" s="98"/>
      <c r="U662" s="98"/>
      <c r="V662" s="98"/>
      <c r="W662" s="98"/>
      <c r="X662" s="98"/>
      <c r="Y662" s="98"/>
      <c r="Z662" s="98"/>
      <c r="AA662" s="98"/>
      <c r="AB662" s="98"/>
      <c r="AC662" s="98"/>
    </row>
    <row r="663">
      <c r="A663" s="98"/>
      <c r="B663" s="98"/>
      <c r="C663" s="98"/>
      <c r="D663" s="98"/>
      <c r="E663" s="121"/>
      <c r="F663" s="98"/>
      <c r="G663" s="98"/>
      <c r="H663" s="98"/>
      <c r="I663" s="98"/>
      <c r="J663" s="98"/>
      <c r="K663" s="98"/>
      <c r="L663" s="98"/>
      <c r="M663" s="98"/>
      <c r="N663" s="98"/>
      <c r="O663" s="98"/>
      <c r="P663" s="98"/>
      <c r="Q663" s="98"/>
      <c r="R663" s="98"/>
      <c r="S663" s="98"/>
      <c r="T663" s="98"/>
      <c r="U663" s="98"/>
      <c r="V663" s="98"/>
      <c r="W663" s="98"/>
      <c r="X663" s="98"/>
      <c r="Y663" s="98"/>
      <c r="Z663" s="98"/>
      <c r="AA663" s="98"/>
      <c r="AB663" s="98"/>
      <c r="AC663" s="98"/>
    </row>
    <row r="664">
      <c r="A664" s="98"/>
      <c r="B664" s="98"/>
      <c r="C664" s="98"/>
      <c r="D664" s="98"/>
      <c r="E664" s="121"/>
      <c r="F664" s="98"/>
      <c r="G664" s="98"/>
      <c r="H664" s="98"/>
      <c r="I664" s="98"/>
      <c r="J664" s="98"/>
      <c r="K664" s="98"/>
      <c r="L664" s="98"/>
      <c r="M664" s="98"/>
      <c r="N664" s="98"/>
      <c r="O664" s="98"/>
      <c r="P664" s="98"/>
      <c r="Q664" s="98"/>
      <c r="R664" s="98"/>
      <c r="S664" s="98"/>
      <c r="T664" s="98"/>
      <c r="U664" s="98"/>
      <c r="V664" s="98"/>
      <c r="W664" s="98"/>
      <c r="X664" s="98"/>
      <c r="Y664" s="98"/>
      <c r="Z664" s="98"/>
      <c r="AA664" s="98"/>
      <c r="AB664" s="98"/>
      <c r="AC664" s="98"/>
    </row>
    <row r="665">
      <c r="A665" s="98"/>
      <c r="B665" s="98"/>
      <c r="C665" s="98"/>
      <c r="D665" s="98"/>
      <c r="E665" s="121"/>
      <c r="F665" s="98"/>
      <c r="G665" s="98"/>
      <c r="H665" s="98"/>
      <c r="I665" s="98"/>
      <c r="J665" s="98"/>
      <c r="K665" s="98"/>
      <c r="L665" s="98"/>
      <c r="M665" s="98"/>
      <c r="N665" s="98"/>
      <c r="O665" s="98"/>
      <c r="P665" s="98"/>
      <c r="Q665" s="98"/>
      <c r="R665" s="98"/>
      <c r="S665" s="98"/>
      <c r="T665" s="98"/>
      <c r="U665" s="98"/>
      <c r="V665" s="98"/>
      <c r="W665" s="98"/>
      <c r="X665" s="98"/>
      <c r="Y665" s="98"/>
      <c r="Z665" s="98"/>
      <c r="AA665" s="98"/>
      <c r="AB665" s="98"/>
      <c r="AC665" s="98"/>
    </row>
    <row r="666">
      <c r="A666" s="98"/>
      <c r="B666" s="98"/>
      <c r="C666" s="98"/>
      <c r="D666" s="98"/>
      <c r="E666" s="121"/>
      <c r="F666" s="98"/>
      <c r="G666" s="98"/>
      <c r="H666" s="98"/>
      <c r="I666" s="98"/>
      <c r="J666" s="98"/>
      <c r="K666" s="98"/>
      <c r="L666" s="98"/>
      <c r="M666" s="98"/>
      <c r="N666" s="98"/>
      <c r="O666" s="98"/>
      <c r="P666" s="98"/>
      <c r="Q666" s="98"/>
      <c r="R666" s="98"/>
      <c r="S666" s="98"/>
      <c r="T666" s="98"/>
      <c r="U666" s="98"/>
      <c r="V666" s="98"/>
      <c r="W666" s="98"/>
      <c r="X666" s="98"/>
      <c r="Y666" s="98"/>
      <c r="Z666" s="98"/>
      <c r="AA666" s="98"/>
      <c r="AB666" s="98"/>
      <c r="AC666" s="98"/>
    </row>
    <row r="667">
      <c r="A667" s="98"/>
      <c r="B667" s="98"/>
      <c r="C667" s="98"/>
      <c r="D667" s="98"/>
      <c r="E667" s="121"/>
      <c r="F667" s="98"/>
      <c r="G667" s="98"/>
      <c r="H667" s="98"/>
      <c r="I667" s="98"/>
      <c r="J667" s="98"/>
      <c r="K667" s="98"/>
      <c r="L667" s="98"/>
      <c r="M667" s="98"/>
      <c r="N667" s="98"/>
      <c r="O667" s="98"/>
      <c r="P667" s="98"/>
      <c r="Q667" s="98"/>
      <c r="R667" s="98"/>
      <c r="S667" s="98"/>
      <c r="T667" s="98"/>
      <c r="U667" s="98"/>
      <c r="V667" s="98"/>
      <c r="W667" s="98"/>
      <c r="X667" s="98"/>
      <c r="Y667" s="98"/>
      <c r="Z667" s="98"/>
      <c r="AA667" s="98"/>
      <c r="AB667" s="98"/>
      <c r="AC667" s="98"/>
    </row>
    <row r="668">
      <c r="A668" s="98"/>
      <c r="B668" s="98"/>
      <c r="C668" s="98"/>
      <c r="D668" s="98"/>
      <c r="E668" s="121"/>
      <c r="F668" s="98"/>
      <c r="G668" s="98"/>
      <c r="H668" s="98"/>
      <c r="I668" s="98"/>
      <c r="J668" s="98"/>
      <c r="K668" s="98"/>
      <c r="L668" s="98"/>
      <c r="M668" s="98"/>
      <c r="N668" s="98"/>
      <c r="O668" s="98"/>
      <c r="P668" s="98"/>
      <c r="Q668" s="98"/>
      <c r="R668" s="98"/>
      <c r="S668" s="98"/>
      <c r="T668" s="98"/>
      <c r="U668" s="98"/>
      <c r="V668" s="98"/>
      <c r="W668" s="98"/>
      <c r="X668" s="98"/>
      <c r="Y668" s="98"/>
      <c r="Z668" s="98"/>
      <c r="AA668" s="98"/>
      <c r="AB668" s="98"/>
      <c r="AC668" s="98"/>
    </row>
    <row r="669">
      <c r="A669" s="98"/>
      <c r="B669" s="98"/>
      <c r="C669" s="98"/>
      <c r="D669" s="98"/>
      <c r="E669" s="121"/>
      <c r="F669" s="98"/>
      <c r="G669" s="98"/>
      <c r="H669" s="98"/>
      <c r="I669" s="98"/>
      <c r="J669" s="98"/>
      <c r="K669" s="98"/>
      <c r="L669" s="98"/>
      <c r="M669" s="98"/>
      <c r="N669" s="98"/>
      <c r="O669" s="98"/>
      <c r="P669" s="98"/>
      <c r="Q669" s="98"/>
      <c r="R669" s="98"/>
      <c r="S669" s="98"/>
      <c r="T669" s="98"/>
      <c r="U669" s="98"/>
      <c r="V669" s="98"/>
      <c r="W669" s="98"/>
      <c r="X669" s="98"/>
      <c r="Y669" s="98"/>
      <c r="Z669" s="98"/>
      <c r="AA669" s="98"/>
      <c r="AB669" s="98"/>
      <c r="AC669" s="98"/>
    </row>
    <row r="670">
      <c r="A670" s="98"/>
      <c r="B670" s="98"/>
      <c r="C670" s="98"/>
      <c r="D670" s="98"/>
      <c r="E670" s="121"/>
      <c r="F670" s="98"/>
      <c r="G670" s="98"/>
      <c r="H670" s="98"/>
      <c r="I670" s="98"/>
      <c r="J670" s="98"/>
      <c r="K670" s="98"/>
      <c r="L670" s="98"/>
      <c r="M670" s="98"/>
      <c r="N670" s="98"/>
      <c r="O670" s="98"/>
      <c r="P670" s="98"/>
      <c r="Q670" s="98"/>
      <c r="R670" s="98"/>
      <c r="S670" s="98"/>
      <c r="T670" s="98"/>
      <c r="U670" s="98"/>
      <c r="V670" s="98"/>
      <c r="W670" s="98"/>
      <c r="X670" s="98"/>
      <c r="Y670" s="98"/>
      <c r="Z670" s="98"/>
      <c r="AA670" s="98"/>
      <c r="AB670" s="98"/>
      <c r="AC670" s="98"/>
    </row>
    <row r="671">
      <c r="A671" s="98"/>
      <c r="B671" s="98"/>
      <c r="C671" s="98"/>
      <c r="D671" s="98"/>
      <c r="E671" s="121"/>
      <c r="F671" s="98"/>
      <c r="G671" s="98"/>
      <c r="H671" s="98"/>
      <c r="I671" s="98"/>
      <c r="J671" s="98"/>
      <c r="K671" s="98"/>
      <c r="L671" s="98"/>
      <c r="M671" s="98"/>
      <c r="N671" s="98"/>
      <c r="O671" s="98"/>
      <c r="P671" s="98"/>
      <c r="Q671" s="98"/>
      <c r="R671" s="98"/>
      <c r="S671" s="98"/>
      <c r="T671" s="98"/>
      <c r="U671" s="98"/>
      <c r="V671" s="98"/>
      <c r="W671" s="98"/>
      <c r="X671" s="98"/>
      <c r="Y671" s="98"/>
      <c r="Z671" s="98"/>
      <c r="AA671" s="98"/>
      <c r="AB671" s="98"/>
      <c r="AC671" s="98"/>
    </row>
    <row r="672">
      <c r="A672" s="98"/>
      <c r="B672" s="98"/>
      <c r="C672" s="98"/>
      <c r="D672" s="98"/>
      <c r="E672" s="121"/>
      <c r="F672" s="98"/>
      <c r="G672" s="98"/>
      <c r="H672" s="98"/>
      <c r="I672" s="98"/>
      <c r="J672" s="98"/>
      <c r="K672" s="98"/>
      <c r="L672" s="98"/>
      <c r="M672" s="98"/>
      <c r="N672" s="98"/>
      <c r="O672" s="98"/>
      <c r="P672" s="98"/>
      <c r="Q672" s="98"/>
      <c r="R672" s="98"/>
      <c r="S672" s="98"/>
      <c r="T672" s="98"/>
      <c r="U672" s="98"/>
      <c r="V672" s="98"/>
      <c r="W672" s="98"/>
      <c r="X672" s="98"/>
      <c r="Y672" s="98"/>
      <c r="Z672" s="98"/>
      <c r="AA672" s="98"/>
      <c r="AB672" s="98"/>
      <c r="AC672" s="98"/>
    </row>
    <row r="673">
      <c r="A673" s="98"/>
      <c r="B673" s="98"/>
      <c r="C673" s="98"/>
      <c r="D673" s="98"/>
      <c r="E673" s="121"/>
      <c r="F673" s="98"/>
      <c r="G673" s="98"/>
      <c r="H673" s="98"/>
      <c r="I673" s="98"/>
      <c r="J673" s="98"/>
      <c r="K673" s="98"/>
      <c r="L673" s="98"/>
      <c r="M673" s="98"/>
      <c r="N673" s="98"/>
      <c r="O673" s="98"/>
      <c r="P673" s="98"/>
      <c r="Q673" s="98"/>
      <c r="R673" s="98"/>
      <c r="S673" s="98"/>
      <c r="T673" s="98"/>
      <c r="U673" s="98"/>
      <c r="V673" s="98"/>
      <c r="W673" s="98"/>
      <c r="X673" s="98"/>
      <c r="Y673" s="98"/>
      <c r="Z673" s="98"/>
      <c r="AA673" s="98"/>
      <c r="AB673" s="98"/>
      <c r="AC673" s="98"/>
    </row>
    <row r="674">
      <c r="A674" s="98"/>
      <c r="B674" s="98"/>
      <c r="C674" s="98"/>
      <c r="D674" s="98"/>
      <c r="E674" s="121"/>
      <c r="F674" s="98"/>
      <c r="G674" s="98"/>
      <c r="H674" s="98"/>
      <c r="I674" s="98"/>
      <c r="J674" s="98"/>
      <c r="K674" s="98"/>
      <c r="L674" s="98"/>
      <c r="M674" s="98"/>
      <c r="N674" s="98"/>
      <c r="O674" s="98"/>
      <c r="P674" s="98"/>
      <c r="Q674" s="98"/>
      <c r="R674" s="98"/>
      <c r="S674" s="98"/>
      <c r="T674" s="98"/>
      <c r="U674" s="98"/>
      <c r="V674" s="98"/>
      <c r="W674" s="98"/>
      <c r="X674" s="98"/>
      <c r="Y674" s="98"/>
      <c r="Z674" s="98"/>
      <c r="AA674" s="98"/>
      <c r="AB674" s="98"/>
      <c r="AC674" s="98"/>
    </row>
    <row r="675">
      <c r="A675" s="98"/>
      <c r="B675" s="98"/>
      <c r="C675" s="98"/>
      <c r="D675" s="98"/>
      <c r="E675" s="121"/>
      <c r="F675" s="98"/>
      <c r="G675" s="98"/>
      <c r="H675" s="98"/>
      <c r="I675" s="98"/>
      <c r="J675" s="98"/>
      <c r="K675" s="98"/>
      <c r="L675" s="98"/>
      <c r="M675" s="98"/>
      <c r="N675" s="98"/>
      <c r="O675" s="98"/>
      <c r="P675" s="98"/>
      <c r="Q675" s="98"/>
      <c r="R675" s="98"/>
      <c r="S675" s="98"/>
      <c r="T675" s="98"/>
      <c r="U675" s="98"/>
      <c r="V675" s="98"/>
      <c r="W675" s="98"/>
      <c r="X675" s="98"/>
      <c r="Y675" s="98"/>
      <c r="Z675" s="98"/>
      <c r="AA675" s="98"/>
      <c r="AB675" s="98"/>
      <c r="AC675" s="98"/>
    </row>
    <row r="676">
      <c r="A676" s="98"/>
      <c r="B676" s="98"/>
      <c r="C676" s="98"/>
      <c r="D676" s="98"/>
      <c r="E676" s="121"/>
      <c r="F676" s="98"/>
      <c r="G676" s="98"/>
      <c r="H676" s="98"/>
      <c r="I676" s="98"/>
      <c r="J676" s="98"/>
      <c r="K676" s="98"/>
      <c r="L676" s="98"/>
      <c r="M676" s="98"/>
      <c r="N676" s="98"/>
      <c r="O676" s="98"/>
      <c r="P676" s="98"/>
      <c r="Q676" s="98"/>
      <c r="R676" s="98"/>
      <c r="S676" s="98"/>
      <c r="T676" s="98"/>
      <c r="U676" s="98"/>
      <c r="V676" s="98"/>
      <c r="W676" s="98"/>
      <c r="X676" s="98"/>
      <c r="Y676" s="98"/>
      <c r="Z676" s="98"/>
      <c r="AA676" s="98"/>
      <c r="AB676" s="98"/>
      <c r="AC676" s="98"/>
    </row>
    <row r="677">
      <c r="A677" s="98"/>
      <c r="B677" s="98"/>
      <c r="C677" s="98"/>
      <c r="D677" s="98"/>
      <c r="E677" s="121"/>
      <c r="F677" s="98"/>
      <c r="G677" s="98"/>
      <c r="H677" s="98"/>
      <c r="I677" s="98"/>
      <c r="J677" s="98"/>
      <c r="K677" s="98"/>
      <c r="L677" s="98"/>
      <c r="M677" s="98"/>
      <c r="N677" s="98"/>
      <c r="O677" s="98"/>
      <c r="P677" s="98"/>
      <c r="Q677" s="98"/>
      <c r="R677" s="98"/>
      <c r="S677" s="98"/>
      <c r="T677" s="98"/>
      <c r="U677" s="98"/>
      <c r="V677" s="98"/>
      <c r="W677" s="98"/>
      <c r="X677" s="98"/>
      <c r="Y677" s="98"/>
      <c r="Z677" s="98"/>
      <c r="AA677" s="98"/>
      <c r="AB677" s="98"/>
      <c r="AC677" s="98"/>
    </row>
    <row r="678">
      <c r="A678" s="98"/>
      <c r="B678" s="98"/>
      <c r="C678" s="98"/>
      <c r="D678" s="98"/>
      <c r="E678" s="121"/>
      <c r="F678" s="98"/>
      <c r="G678" s="98"/>
      <c r="H678" s="98"/>
      <c r="I678" s="98"/>
      <c r="J678" s="98"/>
      <c r="K678" s="98"/>
      <c r="L678" s="98"/>
      <c r="M678" s="98"/>
      <c r="N678" s="98"/>
      <c r="O678" s="98"/>
      <c r="P678" s="98"/>
      <c r="Q678" s="98"/>
      <c r="R678" s="98"/>
      <c r="S678" s="98"/>
      <c r="T678" s="98"/>
      <c r="U678" s="98"/>
      <c r="V678" s="98"/>
      <c r="W678" s="98"/>
      <c r="X678" s="98"/>
      <c r="Y678" s="98"/>
      <c r="Z678" s="98"/>
      <c r="AA678" s="98"/>
      <c r="AB678" s="98"/>
      <c r="AC678" s="98"/>
    </row>
    <row r="679">
      <c r="A679" s="98"/>
      <c r="B679" s="98"/>
      <c r="C679" s="98"/>
      <c r="D679" s="98"/>
      <c r="E679" s="121"/>
      <c r="F679" s="98"/>
      <c r="G679" s="98"/>
      <c r="H679" s="98"/>
      <c r="I679" s="98"/>
      <c r="J679" s="98"/>
      <c r="K679" s="98"/>
      <c r="L679" s="98"/>
      <c r="M679" s="98"/>
      <c r="N679" s="98"/>
      <c r="O679" s="98"/>
      <c r="P679" s="98"/>
      <c r="Q679" s="98"/>
      <c r="R679" s="98"/>
      <c r="S679" s="98"/>
      <c r="T679" s="98"/>
      <c r="U679" s="98"/>
      <c r="V679" s="98"/>
      <c r="W679" s="98"/>
      <c r="X679" s="98"/>
      <c r="Y679" s="98"/>
      <c r="Z679" s="98"/>
      <c r="AA679" s="98"/>
      <c r="AB679" s="98"/>
      <c r="AC679" s="98"/>
    </row>
    <row r="680">
      <c r="A680" s="98"/>
      <c r="B680" s="98"/>
      <c r="C680" s="98"/>
      <c r="D680" s="98"/>
      <c r="E680" s="121"/>
      <c r="F680" s="98"/>
      <c r="G680" s="98"/>
      <c r="H680" s="98"/>
      <c r="I680" s="98"/>
      <c r="J680" s="98"/>
      <c r="K680" s="98"/>
      <c r="L680" s="98"/>
      <c r="M680" s="98"/>
      <c r="N680" s="98"/>
      <c r="O680" s="98"/>
      <c r="P680" s="98"/>
      <c r="Q680" s="98"/>
      <c r="R680" s="98"/>
      <c r="S680" s="98"/>
      <c r="T680" s="98"/>
      <c r="U680" s="98"/>
      <c r="V680" s="98"/>
      <c r="W680" s="98"/>
      <c r="X680" s="98"/>
      <c r="Y680" s="98"/>
      <c r="Z680" s="98"/>
      <c r="AA680" s="98"/>
      <c r="AB680" s="98"/>
      <c r="AC680" s="98"/>
    </row>
    <row r="681">
      <c r="A681" s="98"/>
      <c r="B681" s="98"/>
      <c r="C681" s="98"/>
      <c r="D681" s="98"/>
      <c r="E681" s="121"/>
      <c r="F681" s="98"/>
      <c r="G681" s="98"/>
      <c r="H681" s="98"/>
      <c r="I681" s="98"/>
      <c r="J681" s="98"/>
      <c r="K681" s="98"/>
      <c r="L681" s="98"/>
      <c r="M681" s="98"/>
      <c r="N681" s="98"/>
      <c r="O681" s="98"/>
      <c r="P681" s="98"/>
      <c r="Q681" s="98"/>
      <c r="R681" s="98"/>
      <c r="S681" s="98"/>
      <c r="T681" s="98"/>
      <c r="U681" s="98"/>
      <c r="V681" s="98"/>
      <c r="W681" s="98"/>
      <c r="X681" s="98"/>
      <c r="Y681" s="98"/>
      <c r="Z681" s="98"/>
      <c r="AA681" s="98"/>
      <c r="AB681" s="98"/>
      <c r="AC681" s="98"/>
    </row>
    <row r="682">
      <c r="A682" s="98"/>
      <c r="B682" s="98"/>
      <c r="C682" s="98"/>
      <c r="D682" s="98"/>
      <c r="E682" s="121"/>
      <c r="F682" s="98"/>
      <c r="G682" s="98"/>
      <c r="H682" s="98"/>
      <c r="I682" s="98"/>
      <c r="J682" s="98"/>
      <c r="K682" s="98"/>
      <c r="L682" s="98"/>
      <c r="M682" s="98"/>
      <c r="N682" s="98"/>
      <c r="O682" s="98"/>
      <c r="P682" s="98"/>
      <c r="Q682" s="98"/>
      <c r="R682" s="98"/>
      <c r="S682" s="98"/>
      <c r="T682" s="98"/>
      <c r="U682" s="98"/>
      <c r="V682" s="98"/>
      <c r="W682" s="98"/>
      <c r="X682" s="98"/>
      <c r="Y682" s="98"/>
      <c r="Z682" s="98"/>
      <c r="AA682" s="98"/>
      <c r="AB682" s="98"/>
      <c r="AC682" s="98"/>
    </row>
    <row r="683">
      <c r="A683" s="98"/>
      <c r="B683" s="98"/>
      <c r="C683" s="98"/>
      <c r="D683" s="98"/>
      <c r="E683" s="121"/>
      <c r="F683" s="98"/>
      <c r="G683" s="98"/>
      <c r="H683" s="98"/>
      <c r="I683" s="98"/>
      <c r="J683" s="98"/>
      <c r="K683" s="98"/>
      <c r="L683" s="98"/>
      <c r="M683" s="98"/>
      <c r="N683" s="98"/>
      <c r="O683" s="98"/>
      <c r="P683" s="98"/>
      <c r="Q683" s="98"/>
      <c r="R683" s="98"/>
      <c r="S683" s="98"/>
      <c r="T683" s="98"/>
      <c r="U683" s="98"/>
      <c r="V683" s="98"/>
      <c r="W683" s="98"/>
      <c r="X683" s="98"/>
      <c r="Y683" s="98"/>
      <c r="Z683" s="98"/>
      <c r="AA683" s="98"/>
      <c r="AB683" s="98"/>
      <c r="AC683" s="98"/>
    </row>
    <row r="684">
      <c r="A684" s="98"/>
      <c r="B684" s="98"/>
      <c r="C684" s="98"/>
      <c r="D684" s="98"/>
      <c r="E684" s="121"/>
      <c r="F684" s="98"/>
      <c r="G684" s="98"/>
      <c r="H684" s="98"/>
      <c r="I684" s="98"/>
      <c r="J684" s="98"/>
      <c r="K684" s="98"/>
      <c r="L684" s="98"/>
      <c r="M684" s="98"/>
      <c r="N684" s="98"/>
      <c r="O684" s="98"/>
      <c r="P684" s="98"/>
      <c r="Q684" s="98"/>
      <c r="R684" s="98"/>
      <c r="S684" s="98"/>
      <c r="T684" s="98"/>
      <c r="U684" s="98"/>
      <c r="V684" s="98"/>
      <c r="W684" s="98"/>
      <c r="X684" s="98"/>
      <c r="Y684" s="98"/>
      <c r="Z684" s="98"/>
      <c r="AA684" s="98"/>
      <c r="AB684" s="98"/>
      <c r="AC684" s="98"/>
    </row>
    <row r="685">
      <c r="A685" s="98"/>
      <c r="B685" s="98"/>
      <c r="C685" s="98"/>
      <c r="D685" s="98"/>
      <c r="E685" s="121"/>
      <c r="F685" s="98"/>
      <c r="G685" s="98"/>
      <c r="H685" s="98"/>
      <c r="I685" s="98"/>
      <c r="J685" s="98"/>
      <c r="K685" s="98"/>
      <c r="L685" s="98"/>
      <c r="M685" s="98"/>
      <c r="N685" s="98"/>
      <c r="O685" s="98"/>
      <c r="P685" s="98"/>
      <c r="Q685" s="98"/>
      <c r="R685" s="98"/>
      <c r="S685" s="98"/>
      <c r="T685" s="98"/>
      <c r="U685" s="98"/>
      <c r="V685" s="98"/>
      <c r="W685" s="98"/>
      <c r="X685" s="98"/>
      <c r="Y685" s="98"/>
      <c r="Z685" s="98"/>
      <c r="AA685" s="98"/>
      <c r="AB685" s="98"/>
      <c r="AC685" s="98"/>
    </row>
    <row r="686">
      <c r="A686" s="98"/>
      <c r="B686" s="98"/>
      <c r="C686" s="98"/>
      <c r="D686" s="98"/>
      <c r="E686" s="121"/>
      <c r="F686" s="98"/>
      <c r="G686" s="98"/>
      <c r="H686" s="98"/>
      <c r="I686" s="98"/>
      <c r="J686" s="98"/>
      <c r="K686" s="98"/>
      <c r="L686" s="98"/>
      <c r="M686" s="98"/>
      <c r="N686" s="98"/>
      <c r="O686" s="98"/>
      <c r="P686" s="98"/>
      <c r="Q686" s="98"/>
      <c r="R686" s="98"/>
      <c r="S686" s="98"/>
      <c r="T686" s="98"/>
      <c r="U686" s="98"/>
      <c r="V686" s="98"/>
      <c r="W686" s="98"/>
      <c r="X686" s="98"/>
      <c r="Y686" s="98"/>
      <c r="Z686" s="98"/>
      <c r="AA686" s="98"/>
      <c r="AB686" s="98"/>
      <c r="AC686" s="98"/>
    </row>
    <row r="687">
      <c r="A687" s="98"/>
      <c r="B687" s="98"/>
      <c r="C687" s="98"/>
      <c r="D687" s="98"/>
      <c r="E687" s="121"/>
      <c r="F687" s="98"/>
      <c r="G687" s="98"/>
      <c r="H687" s="98"/>
      <c r="I687" s="98"/>
      <c r="J687" s="98"/>
      <c r="K687" s="98"/>
      <c r="L687" s="98"/>
      <c r="M687" s="98"/>
      <c r="N687" s="98"/>
      <c r="O687" s="98"/>
      <c r="P687" s="98"/>
      <c r="Q687" s="98"/>
      <c r="R687" s="98"/>
      <c r="S687" s="98"/>
      <c r="T687" s="98"/>
      <c r="U687" s="98"/>
      <c r="V687" s="98"/>
      <c r="W687" s="98"/>
      <c r="X687" s="98"/>
      <c r="Y687" s="98"/>
      <c r="Z687" s="98"/>
      <c r="AA687" s="98"/>
      <c r="AB687" s="98"/>
      <c r="AC687" s="98"/>
    </row>
    <row r="688">
      <c r="A688" s="98"/>
      <c r="B688" s="98"/>
      <c r="C688" s="98"/>
      <c r="D688" s="98"/>
      <c r="E688" s="121"/>
      <c r="F688" s="98"/>
      <c r="G688" s="98"/>
      <c r="H688" s="98"/>
      <c r="I688" s="98"/>
      <c r="J688" s="98"/>
      <c r="K688" s="98"/>
      <c r="L688" s="98"/>
      <c r="M688" s="98"/>
      <c r="N688" s="98"/>
      <c r="O688" s="98"/>
      <c r="P688" s="98"/>
      <c r="Q688" s="98"/>
      <c r="R688" s="98"/>
      <c r="S688" s="98"/>
      <c r="T688" s="98"/>
      <c r="U688" s="98"/>
      <c r="V688" s="98"/>
      <c r="W688" s="98"/>
      <c r="X688" s="98"/>
      <c r="Y688" s="98"/>
      <c r="Z688" s="98"/>
      <c r="AA688" s="98"/>
      <c r="AB688" s="98"/>
      <c r="AC688" s="98"/>
    </row>
    <row r="689">
      <c r="A689" s="98"/>
      <c r="B689" s="98"/>
      <c r="C689" s="98"/>
      <c r="D689" s="98"/>
      <c r="E689" s="121"/>
      <c r="F689" s="98"/>
      <c r="G689" s="98"/>
      <c r="H689" s="98"/>
      <c r="I689" s="98"/>
      <c r="J689" s="98"/>
      <c r="K689" s="98"/>
      <c r="L689" s="98"/>
      <c r="M689" s="98"/>
      <c r="N689" s="98"/>
      <c r="O689" s="98"/>
      <c r="P689" s="98"/>
      <c r="Q689" s="98"/>
      <c r="R689" s="98"/>
      <c r="S689" s="98"/>
      <c r="T689" s="98"/>
      <c r="U689" s="98"/>
      <c r="V689" s="98"/>
      <c r="W689" s="98"/>
      <c r="X689" s="98"/>
      <c r="Y689" s="98"/>
      <c r="Z689" s="98"/>
      <c r="AA689" s="98"/>
      <c r="AB689" s="98"/>
      <c r="AC689" s="98"/>
    </row>
    <row r="690">
      <c r="A690" s="98"/>
      <c r="B690" s="98"/>
      <c r="C690" s="98"/>
      <c r="D690" s="98"/>
      <c r="E690" s="121"/>
      <c r="F690" s="98"/>
      <c r="G690" s="98"/>
      <c r="H690" s="98"/>
      <c r="I690" s="98"/>
      <c r="J690" s="98"/>
      <c r="K690" s="98"/>
      <c r="L690" s="98"/>
      <c r="M690" s="98"/>
      <c r="N690" s="98"/>
      <c r="O690" s="98"/>
      <c r="P690" s="98"/>
      <c r="Q690" s="98"/>
      <c r="R690" s="98"/>
      <c r="S690" s="98"/>
      <c r="T690" s="98"/>
      <c r="U690" s="98"/>
      <c r="V690" s="98"/>
      <c r="W690" s="98"/>
      <c r="X690" s="98"/>
      <c r="Y690" s="98"/>
      <c r="Z690" s="98"/>
      <c r="AA690" s="98"/>
      <c r="AB690" s="98"/>
      <c r="AC690" s="98"/>
    </row>
    <row r="691">
      <c r="A691" s="98"/>
      <c r="B691" s="98"/>
      <c r="C691" s="98"/>
      <c r="D691" s="98"/>
      <c r="E691" s="121"/>
      <c r="F691" s="98"/>
      <c r="G691" s="98"/>
      <c r="H691" s="98"/>
      <c r="I691" s="98"/>
      <c r="J691" s="98"/>
      <c r="K691" s="98"/>
      <c r="L691" s="98"/>
      <c r="M691" s="98"/>
      <c r="N691" s="98"/>
      <c r="O691" s="98"/>
      <c r="P691" s="98"/>
      <c r="Q691" s="98"/>
      <c r="R691" s="98"/>
      <c r="S691" s="98"/>
      <c r="T691" s="98"/>
      <c r="U691" s="98"/>
      <c r="V691" s="98"/>
      <c r="W691" s="98"/>
      <c r="X691" s="98"/>
      <c r="Y691" s="98"/>
      <c r="Z691" s="98"/>
      <c r="AA691" s="98"/>
      <c r="AB691" s="98"/>
      <c r="AC691" s="98"/>
    </row>
    <row r="692">
      <c r="A692" s="98"/>
      <c r="B692" s="98"/>
      <c r="C692" s="98"/>
      <c r="D692" s="98"/>
      <c r="E692" s="121"/>
      <c r="F692" s="98"/>
      <c r="G692" s="98"/>
      <c r="H692" s="98"/>
      <c r="I692" s="98"/>
      <c r="J692" s="98"/>
      <c r="K692" s="98"/>
      <c r="L692" s="98"/>
      <c r="M692" s="98"/>
      <c r="N692" s="98"/>
      <c r="O692" s="98"/>
      <c r="P692" s="98"/>
      <c r="Q692" s="98"/>
      <c r="R692" s="98"/>
      <c r="S692" s="98"/>
      <c r="T692" s="98"/>
      <c r="U692" s="98"/>
      <c r="V692" s="98"/>
      <c r="W692" s="98"/>
      <c r="X692" s="98"/>
      <c r="Y692" s="98"/>
      <c r="Z692" s="98"/>
      <c r="AA692" s="98"/>
      <c r="AB692" s="98"/>
      <c r="AC692" s="98"/>
    </row>
    <row r="693">
      <c r="A693" s="98"/>
      <c r="B693" s="98"/>
      <c r="C693" s="98"/>
      <c r="D693" s="98"/>
      <c r="E693" s="121"/>
      <c r="F693" s="98"/>
      <c r="G693" s="98"/>
      <c r="H693" s="98"/>
      <c r="I693" s="98"/>
      <c r="J693" s="98"/>
      <c r="K693" s="98"/>
      <c r="L693" s="98"/>
      <c r="M693" s="98"/>
      <c r="N693" s="98"/>
      <c r="O693" s="98"/>
      <c r="P693" s="98"/>
      <c r="Q693" s="98"/>
      <c r="R693" s="98"/>
      <c r="S693" s="98"/>
      <c r="T693" s="98"/>
      <c r="U693" s="98"/>
      <c r="V693" s="98"/>
      <c r="W693" s="98"/>
      <c r="X693" s="98"/>
      <c r="Y693" s="98"/>
      <c r="Z693" s="98"/>
      <c r="AA693" s="98"/>
      <c r="AB693" s="98"/>
      <c r="AC693" s="98"/>
    </row>
    <row r="694">
      <c r="A694" s="98"/>
      <c r="B694" s="98"/>
      <c r="C694" s="98"/>
      <c r="D694" s="98"/>
      <c r="E694" s="121"/>
      <c r="F694" s="98"/>
      <c r="G694" s="98"/>
      <c r="H694" s="98"/>
      <c r="I694" s="98"/>
      <c r="J694" s="98"/>
      <c r="K694" s="98"/>
      <c r="L694" s="98"/>
      <c r="M694" s="98"/>
      <c r="N694" s="98"/>
      <c r="O694" s="98"/>
      <c r="P694" s="98"/>
      <c r="Q694" s="98"/>
      <c r="R694" s="98"/>
      <c r="S694" s="98"/>
      <c r="T694" s="98"/>
      <c r="U694" s="98"/>
      <c r="V694" s="98"/>
      <c r="W694" s="98"/>
      <c r="X694" s="98"/>
      <c r="Y694" s="98"/>
      <c r="Z694" s="98"/>
      <c r="AA694" s="98"/>
      <c r="AB694" s="98"/>
      <c r="AC694" s="98"/>
    </row>
    <row r="695">
      <c r="A695" s="98"/>
      <c r="B695" s="98"/>
      <c r="C695" s="98"/>
      <c r="D695" s="98"/>
      <c r="E695" s="121"/>
      <c r="F695" s="98"/>
      <c r="G695" s="98"/>
      <c r="H695" s="98"/>
      <c r="I695" s="98"/>
      <c r="J695" s="98"/>
      <c r="K695" s="98"/>
      <c r="L695" s="98"/>
      <c r="M695" s="98"/>
      <c r="N695" s="98"/>
      <c r="O695" s="98"/>
      <c r="P695" s="98"/>
      <c r="Q695" s="98"/>
      <c r="R695" s="98"/>
      <c r="S695" s="98"/>
      <c r="T695" s="98"/>
      <c r="U695" s="98"/>
      <c r="V695" s="98"/>
      <c r="W695" s="98"/>
      <c r="X695" s="98"/>
      <c r="Y695" s="98"/>
      <c r="Z695" s="98"/>
      <c r="AA695" s="98"/>
      <c r="AB695" s="98"/>
      <c r="AC695" s="98"/>
    </row>
    <row r="696">
      <c r="A696" s="98"/>
      <c r="B696" s="98"/>
      <c r="C696" s="98"/>
      <c r="D696" s="98"/>
      <c r="E696" s="121"/>
      <c r="F696" s="98"/>
      <c r="G696" s="98"/>
      <c r="H696" s="98"/>
      <c r="I696" s="98"/>
      <c r="J696" s="98"/>
      <c r="K696" s="98"/>
      <c r="L696" s="98"/>
      <c r="M696" s="98"/>
      <c r="N696" s="98"/>
      <c r="O696" s="98"/>
      <c r="P696" s="98"/>
      <c r="Q696" s="98"/>
      <c r="R696" s="98"/>
      <c r="S696" s="98"/>
      <c r="T696" s="98"/>
      <c r="U696" s="98"/>
      <c r="V696" s="98"/>
      <c r="W696" s="98"/>
      <c r="X696" s="98"/>
      <c r="Y696" s="98"/>
      <c r="Z696" s="98"/>
      <c r="AA696" s="98"/>
      <c r="AB696" s="98"/>
      <c r="AC696" s="98"/>
    </row>
    <row r="697">
      <c r="A697" s="98"/>
      <c r="B697" s="98"/>
      <c r="C697" s="98"/>
      <c r="D697" s="98"/>
      <c r="E697" s="121"/>
      <c r="F697" s="98"/>
      <c r="G697" s="98"/>
      <c r="H697" s="98"/>
      <c r="I697" s="98"/>
      <c r="J697" s="98"/>
      <c r="K697" s="98"/>
      <c r="L697" s="98"/>
      <c r="M697" s="98"/>
      <c r="N697" s="98"/>
      <c r="O697" s="98"/>
      <c r="P697" s="98"/>
      <c r="Q697" s="98"/>
      <c r="R697" s="98"/>
      <c r="S697" s="98"/>
      <c r="T697" s="98"/>
      <c r="U697" s="98"/>
      <c r="V697" s="98"/>
      <c r="W697" s="98"/>
      <c r="X697" s="98"/>
      <c r="Y697" s="98"/>
      <c r="Z697" s="98"/>
      <c r="AA697" s="98"/>
      <c r="AB697" s="98"/>
      <c r="AC697" s="98"/>
    </row>
    <row r="698">
      <c r="A698" s="98"/>
      <c r="B698" s="98"/>
      <c r="C698" s="98"/>
      <c r="D698" s="98"/>
      <c r="E698" s="121"/>
      <c r="F698" s="98"/>
      <c r="G698" s="98"/>
      <c r="H698" s="98"/>
      <c r="I698" s="98"/>
      <c r="J698" s="98"/>
      <c r="K698" s="98"/>
      <c r="L698" s="98"/>
      <c r="M698" s="98"/>
      <c r="N698" s="98"/>
      <c r="O698" s="98"/>
      <c r="P698" s="98"/>
      <c r="Q698" s="98"/>
      <c r="R698" s="98"/>
      <c r="S698" s="98"/>
      <c r="T698" s="98"/>
      <c r="U698" s="98"/>
      <c r="V698" s="98"/>
      <c r="W698" s="98"/>
      <c r="X698" s="98"/>
      <c r="Y698" s="98"/>
      <c r="Z698" s="98"/>
      <c r="AA698" s="98"/>
      <c r="AB698" s="98"/>
      <c r="AC698" s="98"/>
    </row>
    <row r="699">
      <c r="A699" s="98"/>
      <c r="B699" s="98"/>
      <c r="C699" s="98"/>
      <c r="D699" s="98"/>
      <c r="E699" s="121"/>
      <c r="F699" s="98"/>
      <c r="G699" s="98"/>
      <c r="H699" s="98"/>
      <c r="I699" s="98"/>
      <c r="J699" s="98"/>
      <c r="K699" s="98"/>
      <c r="L699" s="98"/>
      <c r="M699" s="98"/>
      <c r="N699" s="98"/>
      <c r="O699" s="98"/>
      <c r="P699" s="98"/>
      <c r="Q699" s="98"/>
      <c r="R699" s="98"/>
      <c r="S699" s="98"/>
      <c r="T699" s="98"/>
      <c r="U699" s="98"/>
      <c r="V699" s="98"/>
      <c r="W699" s="98"/>
      <c r="X699" s="98"/>
      <c r="Y699" s="98"/>
      <c r="Z699" s="98"/>
      <c r="AA699" s="98"/>
      <c r="AB699" s="98"/>
      <c r="AC699" s="98"/>
    </row>
    <row r="700">
      <c r="A700" s="98"/>
      <c r="B700" s="98"/>
      <c r="C700" s="98"/>
      <c r="D700" s="98"/>
      <c r="E700" s="121"/>
      <c r="F700" s="98"/>
      <c r="G700" s="98"/>
      <c r="H700" s="98"/>
      <c r="I700" s="98"/>
      <c r="J700" s="98"/>
      <c r="K700" s="98"/>
      <c r="L700" s="98"/>
      <c r="M700" s="98"/>
      <c r="N700" s="98"/>
      <c r="O700" s="98"/>
      <c r="P700" s="98"/>
      <c r="Q700" s="98"/>
      <c r="R700" s="98"/>
      <c r="S700" s="98"/>
      <c r="T700" s="98"/>
      <c r="U700" s="98"/>
      <c r="V700" s="98"/>
      <c r="W700" s="98"/>
      <c r="X700" s="98"/>
      <c r="Y700" s="98"/>
      <c r="Z700" s="98"/>
      <c r="AA700" s="98"/>
      <c r="AB700" s="98"/>
      <c r="AC700" s="98"/>
    </row>
    <row r="701">
      <c r="A701" s="98"/>
      <c r="B701" s="98"/>
      <c r="C701" s="98"/>
      <c r="D701" s="98"/>
      <c r="E701" s="121"/>
      <c r="F701" s="98"/>
      <c r="G701" s="98"/>
      <c r="H701" s="98"/>
      <c r="I701" s="98"/>
      <c r="J701" s="98"/>
      <c r="K701" s="98"/>
      <c r="L701" s="98"/>
      <c r="M701" s="98"/>
      <c r="N701" s="98"/>
      <c r="O701" s="98"/>
      <c r="P701" s="98"/>
      <c r="Q701" s="98"/>
      <c r="R701" s="98"/>
      <c r="S701" s="98"/>
      <c r="T701" s="98"/>
      <c r="U701" s="98"/>
      <c r="V701" s="98"/>
      <c r="W701" s="98"/>
      <c r="X701" s="98"/>
      <c r="Y701" s="98"/>
      <c r="Z701" s="98"/>
      <c r="AA701" s="98"/>
      <c r="AB701" s="98"/>
      <c r="AC701" s="98"/>
    </row>
    <row r="702">
      <c r="A702" s="98"/>
      <c r="B702" s="98"/>
      <c r="C702" s="98"/>
      <c r="D702" s="98"/>
      <c r="E702" s="121"/>
      <c r="F702" s="98"/>
      <c r="G702" s="98"/>
      <c r="H702" s="98"/>
      <c r="I702" s="98"/>
      <c r="J702" s="98"/>
      <c r="K702" s="98"/>
      <c r="L702" s="98"/>
      <c r="M702" s="98"/>
      <c r="N702" s="98"/>
      <c r="O702" s="98"/>
      <c r="P702" s="98"/>
      <c r="Q702" s="98"/>
      <c r="R702" s="98"/>
      <c r="S702" s="98"/>
      <c r="T702" s="98"/>
      <c r="U702" s="98"/>
      <c r="V702" s="98"/>
      <c r="W702" s="98"/>
      <c r="X702" s="98"/>
      <c r="Y702" s="98"/>
      <c r="Z702" s="98"/>
      <c r="AA702" s="98"/>
      <c r="AB702" s="98"/>
      <c r="AC702" s="98"/>
    </row>
    <row r="703">
      <c r="A703" s="98"/>
      <c r="B703" s="98"/>
      <c r="C703" s="98"/>
      <c r="D703" s="98"/>
      <c r="E703" s="121"/>
      <c r="F703" s="98"/>
      <c r="G703" s="98"/>
      <c r="H703" s="98"/>
      <c r="I703" s="98"/>
      <c r="J703" s="98"/>
      <c r="K703" s="98"/>
      <c r="L703" s="98"/>
      <c r="M703" s="98"/>
      <c r="N703" s="98"/>
      <c r="O703" s="98"/>
      <c r="P703" s="98"/>
      <c r="Q703" s="98"/>
      <c r="R703" s="98"/>
      <c r="S703" s="98"/>
      <c r="T703" s="98"/>
      <c r="U703" s="98"/>
      <c r="V703" s="98"/>
      <c r="W703" s="98"/>
      <c r="X703" s="98"/>
      <c r="Y703" s="98"/>
      <c r="Z703" s="98"/>
      <c r="AA703" s="98"/>
      <c r="AB703" s="98"/>
      <c r="AC703" s="98"/>
    </row>
    <row r="704">
      <c r="A704" s="98"/>
      <c r="B704" s="98"/>
      <c r="C704" s="98"/>
      <c r="D704" s="98"/>
      <c r="E704" s="121"/>
      <c r="F704" s="98"/>
      <c r="G704" s="98"/>
      <c r="H704" s="98"/>
      <c r="I704" s="98"/>
      <c r="J704" s="98"/>
      <c r="K704" s="98"/>
      <c r="L704" s="98"/>
      <c r="M704" s="98"/>
      <c r="N704" s="98"/>
      <c r="O704" s="98"/>
      <c r="P704" s="98"/>
      <c r="Q704" s="98"/>
      <c r="R704" s="98"/>
      <c r="S704" s="98"/>
      <c r="T704" s="98"/>
      <c r="U704" s="98"/>
      <c r="V704" s="98"/>
      <c r="W704" s="98"/>
      <c r="X704" s="98"/>
      <c r="Y704" s="98"/>
      <c r="Z704" s="98"/>
      <c r="AA704" s="98"/>
      <c r="AB704" s="98"/>
      <c r="AC704" s="98"/>
    </row>
    <row r="705">
      <c r="A705" s="98"/>
      <c r="B705" s="98"/>
      <c r="C705" s="98"/>
      <c r="D705" s="98"/>
      <c r="E705" s="121"/>
      <c r="F705" s="98"/>
      <c r="G705" s="98"/>
      <c r="H705" s="98"/>
      <c r="I705" s="98"/>
      <c r="J705" s="98"/>
      <c r="K705" s="98"/>
      <c r="L705" s="98"/>
      <c r="M705" s="98"/>
      <c r="N705" s="98"/>
      <c r="O705" s="98"/>
      <c r="P705" s="98"/>
      <c r="Q705" s="98"/>
      <c r="R705" s="98"/>
      <c r="S705" s="98"/>
      <c r="T705" s="98"/>
      <c r="U705" s="98"/>
      <c r="V705" s="98"/>
      <c r="W705" s="98"/>
      <c r="X705" s="98"/>
      <c r="Y705" s="98"/>
      <c r="Z705" s="98"/>
      <c r="AA705" s="98"/>
      <c r="AB705" s="98"/>
      <c r="AC705" s="98"/>
    </row>
    <row r="706">
      <c r="A706" s="98"/>
      <c r="B706" s="98"/>
      <c r="C706" s="98"/>
      <c r="D706" s="98"/>
      <c r="E706" s="121"/>
      <c r="F706" s="98"/>
      <c r="G706" s="98"/>
      <c r="H706" s="98"/>
      <c r="I706" s="98"/>
      <c r="J706" s="98"/>
      <c r="K706" s="98"/>
      <c r="L706" s="98"/>
      <c r="M706" s="98"/>
      <c r="N706" s="98"/>
      <c r="O706" s="98"/>
      <c r="P706" s="98"/>
      <c r="Q706" s="98"/>
      <c r="R706" s="98"/>
      <c r="S706" s="98"/>
      <c r="T706" s="98"/>
      <c r="U706" s="98"/>
      <c r="V706" s="98"/>
      <c r="W706" s="98"/>
      <c r="X706" s="98"/>
      <c r="Y706" s="98"/>
      <c r="Z706" s="98"/>
      <c r="AA706" s="98"/>
      <c r="AB706" s="98"/>
      <c r="AC706" s="98"/>
    </row>
    <row r="707">
      <c r="A707" s="98"/>
      <c r="B707" s="98"/>
      <c r="C707" s="98"/>
      <c r="D707" s="98"/>
      <c r="E707" s="121"/>
      <c r="F707" s="98"/>
      <c r="G707" s="98"/>
      <c r="H707" s="98"/>
      <c r="I707" s="98"/>
      <c r="J707" s="98"/>
      <c r="K707" s="98"/>
      <c r="L707" s="98"/>
      <c r="M707" s="98"/>
      <c r="N707" s="98"/>
      <c r="O707" s="98"/>
      <c r="P707" s="98"/>
      <c r="Q707" s="98"/>
      <c r="R707" s="98"/>
      <c r="S707" s="98"/>
      <c r="T707" s="98"/>
      <c r="U707" s="98"/>
      <c r="V707" s="98"/>
      <c r="W707" s="98"/>
      <c r="X707" s="98"/>
      <c r="Y707" s="98"/>
      <c r="Z707" s="98"/>
      <c r="AA707" s="98"/>
      <c r="AB707" s="98"/>
      <c r="AC707" s="98"/>
    </row>
    <row r="708">
      <c r="A708" s="98"/>
      <c r="B708" s="98"/>
      <c r="C708" s="98"/>
      <c r="D708" s="98"/>
      <c r="E708" s="121"/>
      <c r="F708" s="98"/>
      <c r="G708" s="98"/>
      <c r="H708" s="98"/>
      <c r="I708" s="98"/>
      <c r="J708" s="98"/>
      <c r="K708" s="98"/>
      <c r="L708" s="98"/>
      <c r="M708" s="98"/>
      <c r="N708" s="98"/>
      <c r="O708" s="98"/>
      <c r="P708" s="98"/>
      <c r="Q708" s="98"/>
      <c r="R708" s="98"/>
      <c r="S708" s="98"/>
      <c r="T708" s="98"/>
      <c r="U708" s="98"/>
      <c r="V708" s="98"/>
      <c r="W708" s="98"/>
      <c r="X708" s="98"/>
      <c r="Y708" s="98"/>
      <c r="Z708" s="98"/>
      <c r="AA708" s="98"/>
      <c r="AB708" s="98"/>
      <c r="AC708" s="98"/>
    </row>
    <row r="709">
      <c r="A709" s="98"/>
      <c r="B709" s="98"/>
      <c r="C709" s="98"/>
      <c r="D709" s="98"/>
      <c r="E709" s="121"/>
      <c r="F709" s="98"/>
      <c r="G709" s="98"/>
      <c r="H709" s="98"/>
      <c r="I709" s="98"/>
      <c r="J709" s="98"/>
      <c r="K709" s="98"/>
      <c r="L709" s="98"/>
      <c r="M709" s="98"/>
      <c r="N709" s="98"/>
      <c r="O709" s="98"/>
      <c r="P709" s="98"/>
      <c r="Q709" s="98"/>
      <c r="R709" s="98"/>
      <c r="S709" s="98"/>
      <c r="T709" s="98"/>
      <c r="U709" s="98"/>
      <c r="V709" s="98"/>
      <c r="W709" s="98"/>
      <c r="X709" s="98"/>
      <c r="Y709" s="98"/>
      <c r="Z709" s="98"/>
      <c r="AA709" s="98"/>
      <c r="AB709" s="98"/>
      <c r="AC709" s="98"/>
    </row>
    <row r="710">
      <c r="A710" s="98"/>
      <c r="B710" s="98"/>
      <c r="C710" s="98"/>
      <c r="D710" s="98"/>
      <c r="E710" s="121"/>
      <c r="F710" s="98"/>
      <c r="G710" s="98"/>
      <c r="H710" s="98"/>
      <c r="I710" s="98"/>
      <c r="J710" s="98"/>
      <c r="K710" s="98"/>
      <c r="L710" s="98"/>
      <c r="M710" s="98"/>
      <c r="N710" s="98"/>
      <c r="O710" s="98"/>
      <c r="P710" s="98"/>
      <c r="Q710" s="98"/>
      <c r="R710" s="98"/>
      <c r="S710" s="98"/>
      <c r="T710" s="98"/>
      <c r="U710" s="98"/>
      <c r="V710" s="98"/>
      <c r="W710" s="98"/>
      <c r="X710" s="98"/>
      <c r="Y710" s="98"/>
      <c r="Z710" s="98"/>
      <c r="AA710" s="98"/>
      <c r="AB710" s="98"/>
      <c r="AC710" s="98"/>
    </row>
    <row r="711">
      <c r="A711" s="98"/>
      <c r="B711" s="98"/>
      <c r="C711" s="98"/>
      <c r="D711" s="98"/>
      <c r="E711" s="121"/>
      <c r="F711" s="98"/>
      <c r="G711" s="98"/>
      <c r="H711" s="98"/>
      <c r="I711" s="98"/>
      <c r="J711" s="98"/>
      <c r="K711" s="98"/>
      <c r="L711" s="98"/>
      <c r="M711" s="98"/>
      <c r="N711" s="98"/>
      <c r="O711" s="98"/>
      <c r="P711" s="98"/>
      <c r="Q711" s="98"/>
      <c r="R711" s="98"/>
      <c r="S711" s="98"/>
      <c r="T711" s="98"/>
      <c r="U711" s="98"/>
      <c r="V711" s="98"/>
      <c r="W711" s="98"/>
      <c r="X711" s="98"/>
      <c r="Y711" s="98"/>
      <c r="Z711" s="98"/>
      <c r="AA711" s="98"/>
      <c r="AB711" s="98"/>
      <c r="AC711" s="98"/>
    </row>
    <row r="712">
      <c r="A712" s="98"/>
      <c r="B712" s="98"/>
      <c r="C712" s="98"/>
      <c r="D712" s="98"/>
      <c r="E712" s="121"/>
      <c r="F712" s="98"/>
      <c r="G712" s="98"/>
      <c r="H712" s="98"/>
      <c r="I712" s="98"/>
      <c r="J712" s="98"/>
      <c r="K712" s="98"/>
      <c r="L712" s="98"/>
      <c r="M712" s="98"/>
      <c r="N712" s="98"/>
      <c r="O712" s="98"/>
      <c r="P712" s="98"/>
      <c r="Q712" s="98"/>
      <c r="R712" s="98"/>
      <c r="S712" s="98"/>
      <c r="T712" s="98"/>
      <c r="U712" s="98"/>
      <c r="V712" s="98"/>
      <c r="W712" s="98"/>
      <c r="X712" s="98"/>
      <c r="Y712" s="98"/>
      <c r="Z712" s="98"/>
      <c r="AA712" s="98"/>
      <c r="AB712" s="98"/>
      <c r="AC712" s="98"/>
    </row>
    <row r="713">
      <c r="A713" s="98"/>
      <c r="B713" s="98"/>
      <c r="C713" s="98"/>
      <c r="D713" s="98"/>
      <c r="E713" s="121"/>
      <c r="F713" s="98"/>
      <c r="G713" s="98"/>
      <c r="H713" s="98"/>
      <c r="I713" s="98"/>
      <c r="J713" s="98"/>
      <c r="K713" s="98"/>
      <c r="L713" s="98"/>
      <c r="M713" s="98"/>
      <c r="N713" s="98"/>
      <c r="O713" s="98"/>
      <c r="P713" s="98"/>
      <c r="Q713" s="98"/>
      <c r="R713" s="98"/>
      <c r="S713" s="98"/>
      <c r="T713" s="98"/>
      <c r="U713" s="98"/>
      <c r="V713" s="98"/>
      <c r="W713" s="98"/>
      <c r="X713" s="98"/>
      <c r="Y713" s="98"/>
      <c r="Z713" s="98"/>
      <c r="AA713" s="98"/>
      <c r="AB713" s="98"/>
      <c r="AC713" s="98"/>
    </row>
    <row r="714">
      <c r="A714" s="98"/>
      <c r="B714" s="98"/>
      <c r="C714" s="98"/>
      <c r="D714" s="98"/>
      <c r="E714" s="121"/>
      <c r="F714" s="98"/>
      <c r="G714" s="98"/>
      <c r="H714" s="98"/>
      <c r="I714" s="98"/>
      <c r="J714" s="98"/>
      <c r="K714" s="98"/>
      <c r="L714" s="98"/>
      <c r="M714" s="98"/>
      <c r="N714" s="98"/>
      <c r="O714" s="98"/>
      <c r="P714" s="98"/>
      <c r="Q714" s="98"/>
      <c r="R714" s="98"/>
      <c r="S714" s="98"/>
      <c r="T714" s="98"/>
      <c r="U714" s="98"/>
      <c r="V714" s="98"/>
      <c r="W714" s="98"/>
      <c r="X714" s="98"/>
      <c r="Y714" s="98"/>
      <c r="Z714" s="98"/>
      <c r="AA714" s="98"/>
      <c r="AB714" s="98"/>
      <c r="AC714" s="98"/>
    </row>
    <row r="715">
      <c r="A715" s="98"/>
      <c r="B715" s="98"/>
      <c r="C715" s="98"/>
      <c r="D715" s="98"/>
      <c r="E715" s="121"/>
      <c r="F715" s="98"/>
      <c r="G715" s="98"/>
      <c r="H715" s="98"/>
      <c r="I715" s="98"/>
      <c r="J715" s="98"/>
      <c r="K715" s="98"/>
      <c r="L715" s="98"/>
      <c r="M715" s="98"/>
      <c r="N715" s="98"/>
      <c r="O715" s="98"/>
      <c r="P715" s="98"/>
      <c r="Q715" s="98"/>
      <c r="R715" s="98"/>
      <c r="S715" s="98"/>
      <c r="T715" s="98"/>
      <c r="U715" s="98"/>
      <c r="V715" s="98"/>
      <c r="W715" s="98"/>
      <c r="X715" s="98"/>
      <c r="Y715" s="98"/>
      <c r="Z715" s="98"/>
      <c r="AA715" s="98"/>
      <c r="AB715" s="98"/>
      <c r="AC715" s="98"/>
    </row>
    <row r="716">
      <c r="A716" s="98"/>
      <c r="B716" s="98"/>
      <c r="C716" s="98"/>
      <c r="D716" s="98"/>
      <c r="E716" s="121"/>
      <c r="F716" s="98"/>
      <c r="G716" s="98"/>
      <c r="H716" s="98"/>
      <c r="I716" s="98"/>
      <c r="J716" s="98"/>
      <c r="K716" s="98"/>
      <c r="L716" s="98"/>
      <c r="M716" s="98"/>
      <c r="N716" s="98"/>
      <c r="O716" s="98"/>
      <c r="P716" s="98"/>
      <c r="Q716" s="98"/>
      <c r="R716" s="98"/>
      <c r="S716" s="98"/>
      <c r="T716" s="98"/>
      <c r="U716" s="98"/>
      <c r="V716" s="98"/>
      <c r="W716" s="98"/>
      <c r="X716" s="98"/>
      <c r="Y716" s="98"/>
      <c r="Z716" s="98"/>
      <c r="AA716" s="98"/>
      <c r="AB716" s="98"/>
      <c r="AC716" s="98"/>
    </row>
    <row r="717">
      <c r="A717" s="98"/>
      <c r="B717" s="98"/>
      <c r="C717" s="98"/>
      <c r="D717" s="98"/>
      <c r="E717" s="121"/>
      <c r="F717" s="98"/>
      <c r="G717" s="98"/>
      <c r="H717" s="98"/>
      <c r="I717" s="98"/>
      <c r="J717" s="98"/>
      <c r="K717" s="98"/>
      <c r="L717" s="98"/>
      <c r="M717" s="98"/>
      <c r="N717" s="98"/>
      <c r="O717" s="98"/>
      <c r="P717" s="98"/>
      <c r="Q717" s="98"/>
      <c r="R717" s="98"/>
      <c r="S717" s="98"/>
      <c r="T717" s="98"/>
      <c r="U717" s="98"/>
      <c r="V717" s="98"/>
      <c r="W717" s="98"/>
      <c r="X717" s="98"/>
      <c r="Y717" s="98"/>
      <c r="Z717" s="98"/>
      <c r="AA717" s="98"/>
      <c r="AB717" s="98"/>
      <c r="AC717" s="98"/>
    </row>
    <row r="718">
      <c r="A718" s="98"/>
      <c r="B718" s="98"/>
      <c r="C718" s="98"/>
      <c r="D718" s="98"/>
      <c r="E718" s="121"/>
      <c r="F718" s="98"/>
      <c r="G718" s="98"/>
      <c r="H718" s="98"/>
      <c r="I718" s="98"/>
      <c r="J718" s="98"/>
      <c r="K718" s="98"/>
      <c r="L718" s="98"/>
      <c r="M718" s="98"/>
      <c r="N718" s="98"/>
      <c r="O718" s="98"/>
      <c r="P718" s="98"/>
      <c r="Q718" s="98"/>
      <c r="R718" s="98"/>
      <c r="S718" s="98"/>
      <c r="T718" s="98"/>
      <c r="U718" s="98"/>
      <c r="V718" s="98"/>
      <c r="W718" s="98"/>
      <c r="X718" s="98"/>
      <c r="Y718" s="98"/>
      <c r="Z718" s="98"/>
      <c r="AA718" s="98"/>
      <c r="AB718" s="98"/>
      <c r="AC718" s="98"/>
    </row>
    <row r="719">
      <c r="A719" s="98"/>
      <c r="B719" s="98"/>
      <c r="C719" s="98"/>
      <c r="D719" s="98"/>
      <c r="E719" s="121"/>
      <c r="F719" s="98"/>
      <c r="G719" s="98"/>
      <c r="H719" s="98"/>
      <c r="I719" s="98"/>
      <c r="J719" s="98"/>
      <c r="K719" s="98"/>
      <c r="L719" s="98"/>
      <c r="M719" s="98"/>
      <c r="N719" s="98"/>
      <c r="O719" s="98"/>
      <c r="P719" s="98"/>
      <c r="Q719" s="98"/>
      <c r="R719" s="98"/>
      <c r="S719" s="98"/>
      <c r="T719" s="98"/>
      <c r="U719" s="98"/>
      <c r="V719" s="98"/>
      <c r="W719" s="98"/>
      <c r="X719" s="98"/>
      <c r="Y719" s="98"/>
      <c r="Z719" s="98"/>
      <c r="AA719" s="98"/>
      <c r="AB719" s="98"/>
      <c r="AC719" s="98"/>
    </row>
    <row r="720">
      <c r="A720" s="98"/>
      <c r="B720" s="98"/>
      <c r="C720" s="98"/>
      <c r="D720" s="98"/>
      <c r="E720" s="121"/>
      <c r="F720" s="98"/>
      <c r="G720" s="98"/>
      <c r="H720" s="98"/>
      <c r="I720" s="98"/>
      <c r="J720" s="98"/>
      <c r="K720" s="98"/>
      <c r="L720" s="98"/>
      <c r="M720" s="98"/>
      <c r="N720" s="98"/>
      <c r="O720" s="98"/>
      <c r="P720" s="98"/>
      <c r="Q720" s="98"/>
      <c r="R720" s="98"/>
      <c r="S720" s="98"/>
      <c r="T720" s="98"/>
      <c r="U720" s="98"/>
      <c r="V720" s="98"/>
      <c r="W720" s="98"/>
      <c r="X720" s="98"/>
      <c r="Y720" s="98"/>
      <c r="Z720" s="98"/>
      <c r="AA720" s="98"/>
      <c r="AB720" s="98"/>
      <c r="AC720" s="98"/>
    </row>
    <row r="721">
      <c r="A721" s="98"/>
      <c r="B721" s="98"/>
      <c r="C721" s="98"/>
      <c r="D721" s="98"/>
      <c r="E721" s="121"/>
      <c r="F721" s="98"/>
      <c r="G721" s="98"/>
      <c r="H721" s="98"/>
      <c r="I721" s="98"/>
      <c r="J721" s="98"/>
      <c r="K721" s="98"/>
      <c r="L721" s="98"/>
      <c r="M721" s="98"/>
      <c r="N721" s="98"/>
      <c r="O721" s="98"/>
      <c r="P721" s="98"/>
      <c r="Q721" s="98"/>
      <c r="R721" s="98"/>
      <c r="S721" s="98"/>
      <c r="T721" s="98"/>
      <c r="U721" s="98"/>
      <c r="V721" s="98"/>
      <c r="W721" s="98"/>
      <c r="X721" s="98"/>
      <c r="Y721" s="98"/>
      <c r="Z721" s="98"/>
      <c r="AA721" s="98"/>
      <c r="AB721" s="98"/>
      <c r="AC721" s="98"/>
    </row>
    <row r="722">
      <c r="A722" s="98"/>
      <c r="B722" s="98"/>
      <c r="C722" s="98"/>
      <c r="D722" s="98"/>
      <c r="E722" s="121"/>
      <c r="F722" s="98"/>
      <c r="G722" s="98"/>
      <c r="H722" s="98"/>
      <c r="I722" s="98"/>
      <c r="J722" s="98"/>
      <c r="K722" s="98"/>
      <c r="L722" s="98"/>
      <c r="M722" s="98"/>
      <c r="N722" s="98"/>
      <c r="O722" s="98"/>
      <c r="P722" s="98"/>
      <c r="Q722" s="98"/>
      <c r="R722" s="98"/>
      <c r="S722" s="98"/>
      <c r="T722" s="98"/>
      <c r="U722" s="98"/>
      <c r="V722" s="98"/>
      <c r="W722" s="98"/>
      <c r="X722" s="98"/>
      <c r="Y722" s="98"/>
      <c r="Z722" s="98"/>
      <c r="AA722" s="98"/>
      <c r="AB722" s="98"/>
      <c r="AC722" s="98"/>
    </row>
    <row r="723">
      <c r="A723" s="98"/>
      <c r="B723" s="98"/>
      <c r="C723" s="98"/>
      <c r="D723" s="98"/>
      <c r="E723" s="121"/>
      <c r="F723" s="98"/>
      <c r="G723" s="98"/>
      <c r="H723" s="98"/>
      <c r="I723" s="98"/>
      <c r="J723" s="98"/>
      <c r="K723" s="98"/>
      <c r="L723" s="98"/>
      <c r="M723" s="98"/>
      <c r="N723" s="98"/>
      <c r="O723" s="98"/>
      <c r="P723" s="98"/>
      <c r="Q723" s="98"/>
      <c r="R723" s="98"/>
      <c r="S723" s="98"/>
      <c r="T723" s="98"/>
      <c r="U723" s="98"/>
      <c r="V723" s="98"/>
      <c r="W723" s="98"/>
      <c r="X723" s="98"/>
      <c r="Y723" s="98"/>
      <c r="Z723" s="98"/>
      <c r="AA723" s="98"/>
      <c r="AB723" s="98"/>
      <c r="AC723" s="98"/>
    </row>
    <row r="724">
      <c r="A724" s="98"/>
      <c r="B724" s="98"/>
      <c r="C724" s="98"/>
      <c r="D724" s="98"/>
      <c r="E724" s="121"/>
      <c r="F724" s="98"/>
      <c r="G724" s="98"/>
      <c r="H724" s="98"/>
      <c r="I724" s="98"/>
      <c r="J724" s="98"/>
      <c r="K724" s="98"/>
      <c r="L724" s="98"/>
      <c r="M724" s="98"/>
      <c r="N724" s="98"/>
      <c r="O724" s="98"/>
      <c r="P724" s="98"/>
      <c r="Q724" s="98"/>
      <c r="R724" s="98"/>
      <c r="S724" s="98"/>
      <c r="T724" s="98"/>
      <c r="U724" s="98"/>
      <c r="V724" s="98"/>
      <c r="W724" s="98"/>
      <c r="X724" s="98"/>
      <c r="Y724" s="98"/>
      <c r="Z724" s="98"/>
      <c r="AA724" s="98"/>
      <c r="AB724" s="98"/>
      <c r="AC724" s="98"/>
    </row>
    <row r="725">
      <c r="A725" s="98"/>
      <c r="B725" s="98"/>
      <c r="C725" s="98"/>
      <c r="D725" s="98"/>
      <c r="E725" s="121"/>
      <c r="F725" s="98"/>
      <c r="G725" s="98"/>
      <c r="H725" s="98"/>
      <c r="I725" s="98"/>
      <c r="J725" s="98"/>
      <c r="K725" s="98"/>
      <c r="L725" s="98"/>
      <c r="M725" s="98"/>
      <c r="N725" s="98"/>
      <c r="O725" s="98"/>
      <c r="P725" s="98"/>
      <c r="Q725" s="98"/>
      <c r="R725" s="98"/>
      <c r="S725" s="98"/>
      <c r="T725" s="98"/>
      <c r="U725" s="98"/>
      <c r="V725" s="98"/>
      <c r="W725" s="98"/>
      <c r="X725" s="98"/>
      <c r="Y725" s="98"/>
      <c r="Z725" s="98"/>
      <c r="AA725" s="98"/>
      <c r="AB725" s="98"/>
      <c r="AC725" s="98"/>
    </row>
    <row r="726">
      <c r="A726" s="98"/>
      <c r="B726" s="98"/>
      <c r="C726" s="98"/>
      <c r="D726" s="98"/>
      <c r="E726" s="121"/>
      <c r="F726" s="98"/>
      <c r="G726" s="98"/>
      <c r="H726" s="98"/>
      <c r="I726" s="98"/>
      <c r="J726" s="98"/>
      <c r="K726" s="98"/>
      <c r="L726" s="98"/>
      <c r="M726" s="98"/>
      <c r="N726" s="98"/>
      <c r="O726" s="98"/>
      <c r="P726" s="98"/>
      <c r="Q726" s="98"/>
      <c r="R726" s="98"/>
      <c r="S726" s="98"/>
      <c r="T726" s="98"/>
      <c r="U726" s="98"/>
      <c r="V726" s="98"/>
      <c r="W726" s="98"/>
      <c r="X726" s="98"/>
      <c r="Y726" s="98"/>
      <c r="Z726" s="98"/>
      <c r="AA726" s="98"/>
      <c r="AB726" s="98"/>
      <c r="AC726" s="98"/>
    </row>
    <row r="727">
      <c r="A727" s="98"/>
      <c r="B727" s="98"/>
      <c r="C727" s="98"/>
      <c r="D727" s="98"/>
      <c r="E727" s="121"/>
      <c r="F727" s="98"/>
      <c r="G727" s="98"/>
      <c r="H727" s="98"/>
      <c r="I727" s="98"/>
      <c r="J727" s="98"/>
      <c r="K727" s="98"/>
      <c r="L727" s="98"/>
      <c r="M727" s="98"/>
      <c r="N727" s="98"/>
      <c r="O727" s="98"/>
      <c r="P727" s="98"/>
      <c r="Q727" s="98"/>
      <c r="R727" s="98"/>
      <c r="S727" s="98"/>
      <c r="T727" s="98"/>
      <c r="U727" s="98"/>
      <c r="V727" s="98"/>
      <c r="W727" s="98"/>
      <c r="X727" s="98"/>
      <c r="Y727" s="98"/>
      <c r="Z727" s="98"/>
      <c r="AA727" s="98"/>
      <c r="AB727" s="98"/>
      <c r="AC727" s="98"/>
    </row>
    <row r="728">
      <c r="A728" s="98"/>
      <c r="B728" s="98"/>
      <c r="C728" s="98"/>
      <c r="D728" s="98"/>
      <c r="E728" s="121"/>
      <c r="F728" s="98"/>
      <c r="G728" s="98"/>
      <c r="H728" s="98"/>
      <c r="I728" s="98"/>
      <c r="J728" s="98"/>
      <c r="K728" s="98"/>
      <c r="L728" s="98"/>
      <c r="M728" s="98"/>
      <c r="N728" s="98"/>
      <c r="O728" s="98"/>
      <c r="P728" s="98"/>
      <c r="Q728" s="98"/>
      <c r="R728" s="98"/>
      <c r="S728" s="98"/>
      <c r="T728" s="98"/>
      <c r="U728" s="98"/>
      <c r="V728" s="98"/>
      <c r="W728" s="98"/>
      <c r="X728" s="98"/>
      <c r="Y728" s="98"/>
      <c r="Z728" s="98"/>
      <c r="AA728" s="98"/>
      <c r="AB728" s="98"/>
      <c r="AC728" s="98"/>
    </row>
    <row r="729">
      <c r="A729" s="98"/>
      <c r="B729" s="98"/>
      <c r="C729" s="98"/>
      <c r="D729" s="98"/>
      <c r="E729" s="121"/>
      <c r="F729" s="98"/>
      <c r="G729" s="98"/>
      <c r="H729" s="98"/>
      <c r="I729" s="98"/>
      <c r="J729" s="98"/>
      <c r="K729" s="98"/>
      <c r="L729" s="98"/>
      <c r="M729" s="98"/>
      <c r="N729" s="98"/>
      <c r="O729" s="98"/>
      <c r="P729" s="98"/>
      <c r="Q729" s="98"/>
      <c r="R729" s="98"/>
      <c r="S729" s="98"/>
      <c r="T729" s="98"/>
      <c r="U729" s="98"/>
      <c r="V729" s="98"/>
      <c r="W729" s="98"/>
      <c r="X729" s="98"/>
      <c r="Y729" s="98"/>
      <c r="Z729" s="98"/>
      <c r="AA729" s="98"/>
      <c r="AB729" s="98"/>
      <c r="AC729" s="98"/>
    </row>
    <row r="730">
      <c r="A730" s="98"/>
      <c r="B730" s="98"/>
      <c r="C730" s="98"/>
      <c r="D730" s="98"/>
      <c r="E730" s="121"/>
      <c r="F730" s="98"/>
      <c r="G730" s="98"/>
      <c r="H730" s="98"/>
      <c r="I730" s="98"/>
      <c r="J730" s="98"/>
      <c r="K730" s="98"/>
      <c r="L730" s="98"/>
      <c r="M730" s="98"/>
      <c r="N730" s="98"/>
      <c r="O730" s="98"/>
      <c r="P730" s="98"/>
      <c r="Q730" s="98"/>
      <c r="R730" s="98"/>
      <c r="S730" s="98"/>
      <c r="T730" s="98"/>
      <c r="U730" s="98"/>
      <c r="V730" s="98"/>
      <c r="W730" s="98"/>
      <c r="X730" s="98"/>
      <c r="Y730" s="98"/>
      <c r="Z730" s="98"/>
      <c r="AA730" s="98"/>
      <c r="AB730" s="98"/>
      <c r="AC730" s="98"/>
    </row>
    <row r="731">
      <c r="A731" s="98"/>
      <c r="B731" s="98"/>
      <c r="C731" s="98"/>
      <c r="D731" s="98"/>
      <c r="E731" s="121"/>
      <c r="F731" s="98"/>
      <c r="G731" s="98"/>
      <c r="H731" s="98"/>
      <c r="I731" s="98"/>
      <c r="J731" s="98"/>
      <c r="K731" s="98"/>
      <c r="L731" s="98"/>
      <c r="M731" s="98"/>
      <c r="N731" s="98"/>
      <c r="O731" s="98"/>
      <c r="P731" s="98"/>
      <c r="Q731" s="98"/>
      <c r="R731" s="98"/>
      <c r="S731" s="98"/>
      <c r="T731" s="98"/>
      <c r="U731" s="98"/>
      <c r="V731" s="98"/>
      <c r="W731" s="98"/>
      <c r="X731" s="98"/>
      <c r="Y731" s="98"/>
      <c r="Z731" s="98"/>
      <c r="AA731" s="98"/>
      <c r="AB731" s="98"/>
      <c r="AC731" s="98"/>
    </row>
    <row r="732">
      <c r="A732" s="98"/>
      <c r="B732" s="98"/>
      <c r="C732" s="98"/>
      <c r="D732" s="98"/>
      <c r="E732" s="121"/>
      <c r="F732" s="98"/>
      <c r="G732" s="98"/>
      <c r="H732" s="98"/>
      <c r="I732" s="98"/>
      <c r="J732" s="98"/>
      <c r="K732" s="98"/>
      <c r="L732" s="98"/>
      <c r="M732" s="98"/>
      <c r="N732" s="98"/>
      <c r="O732" s="98"/>
      <c r="P732" s="98"/>
      <c r="Q732" s="98"/>
      <c r="R732" s="98"/>
      <c r="S732" s="98"/>
      <c r="T732" s="98"/>
      <c r="U732" s="98"/>
      <c r="V732" s="98"/>
      <c r="W732" s="98"/>
      <c r="X732" s="98"/>
      <c r="Y732" s="98"/>
      <c r="Z732" s="98"/>
      <c r="AA732" s="98"/>
      <c r="AB732" s="98"/>
      <c r="AC732" s="98"/>
    </row>
    <row r="733">
      <c r="A733" s="98"/>
      <c r="B733" s="98"/>
      <c r="C733" s="98"/>
      <c r="D733" s="98"/>
      <c r="E733" s="121"/>
      <c r="F733" s="98"/>
      <c r="G733" s="98"/>
      <c r="H733" s="98"/>
      <c r="I733" s="98"/>
      <c r="J733" s="98"/>
      <c r="K733" s="98"/>
      <c r="L733" s="98"/>
      <c r="M733" s="98"/>
      <c r="N733" s="98"/>
      <c r="O733" s="98"/>
      <c r="P733" s="98"/>
      <c r="Q733" s="98"/>
      <c r="R733" s="98"/>
      <c r="S733" s="98"/>
      <c r="T733" s="98"/>
      <c r="U733" s="98"/>
      <c r="V733" s="98"/>
      <c r="W733" s="98"/>
      <c r="X733" s="98"/>
      <c r="Y733" s="98"/>
      <c r="Z733" s="98"/>
      <c r="AA733" s="98"/>
      <c r="AB733" s="98"/>
      <c r="AC733" s="98"/>
    </row>
    <row r="734">
      <c r="A734" s="98"/>
      <c r="B734" s="98"/>
      <c r="C734" s="98"/>
      <c r="D734" s="98"/>
      <c r="E734" s="121"/>
      <c r="F734" s="98"/>
      <c r="G734" s="98"/>
      <c r="H734" s="98"/>
      <c r="I734" s="98"/>
      <c r="J734" s="98"/>
      <c r="K734" s="98"/>
      <c r="L734" s="98"/>
      <c r="M734" s="98"/>
      <c r="N734" s="98"/>
      <c r="O734" s="98"/>
      <c r="P734" s="98"/>
      <c r="Q734" s="98"/>
      <c r="R734" s="98"/>
      <c r="S734" s="98"/>
      <c r="T734" s="98"/>
      <c r="U734" s="98"/>
      <c r="V734" s="98"/>
      <c r="W734" s="98"/>
      <c r="X734" s="98"/>
      <c r="Y734" s="98"/>
      <c r="Z734" s="98"/>
      <c r="AA734" s="98"/>
      <c r="AB734" s="98"/>
      <c r="AC734" s="98"/>
    </row>
    <row r="735">
      <c r="A735" s="98"/>
      <c r="B735" s="98"/>
      <c r="C735" s="98"/>
      <c r="D735" s="98"/>
      <c r="E735" s="121"/>
      <c r="F735" s="98"/>
      <c r="G735" s="98"/>
      <c r="H735" s="98"/>
      <c r="I735" s="98"/>
      <c r="J735" s="98"/>
      <c r="K735" s="98"/>
      <c r="L735" s="98"/>
      <c r="M735" s="98"/>
      <c r="N735" s="98"/>
      <c r="O735" s="98"/>
      <c r="P735" s="98"/>
      <c r="Q735" s="98"/>
      <c r="R735" s="98"/>
      <c r="S735" s="98"/>
      <c r="T735" s="98"/>
      <c r="U735" s="98"/>
      <c r="V735" s="98"/>
      <c r="W735" s="98"/>
      <c r="X735" s="98"/>
      <c r="Y735" s="98"/>
      <c r="Z735" s="98"/>
      <c r="AA735" s="98"/>
      <c r="AB735" s="98"/>
      <c r="AC735" s="98"/>
    </row>
    <row r="736">
      <c r="A736" s="98"/>
      <c r="B736" s="98"/>
      <c r="C736" s="98"/>
      <c r="D736" s="98"/>
      <c r="E736" s="121"/>
      <c r="F736" s="98"/>
      <c r="G736" s="98"/>
      <c r="H736" s="98"/>
      <c r="I736" s="98"/>
      <c r="J736" s="98"/>
      <c r="K736" s="98"/>
      <c r="L736" s="98"/>
      <c r="M736" s="98"/>
      <c r="N736" s="98"/>
      <c r="O736" s="98"/>
      <c r="P736" s="98"/>
      <c r="Q736" s="98"/>
      <c r="R736" s="98"/>
      <c r="S736" s="98"/>
      <c r="T736" s="98"/>
      <c r="U736" s="98"/>
      <c r="V736" s="98"/>
      <c r="W736" s="98"/>
      <c r="X736" s="98"/>
      <c r="Y736" s="98"/>
      <c r="Z736" s="98"/>
      <c r="AA736" s="98"/>
      <c r="AB736" s="98"/>
      <c r="AC736" s="98"/>
    </row>
    <row r="737">
      <c r="A737" s="98"/>
      <c r="B737" s="98"/>
      <c r="C737" s="98"/>
      <c r="D737" s="98"/>
      <c r="E737" s="121"/>
      <c r="F737" s="98"/>
      <c r="G737" s="98"/>
      <c r="H737" s="98"/>
      <c r="I737" s="98"/>
      <c r="J737" s="98"/>
      <c r="K737" s="98"/>
      <c r="L737" s="98"/>
      <c r="M737" s="98"/>
      <c r="N737" s="98"/>
      <c r="O737" s="98"/>
      <c r="P737" s="98"/>
      <c r="Q737" s="98"/>
      <c r="R737" s="98"/>
      <c r="S737" s="98"/>
      <c r="T737" s="98"/>
      <c r="U737" s="98"/>
      <c r="V737" s="98"/>
      <c r="W737" s="98"/>
      <c r="X737" s="98"/>
      <c r="Y737" s="98"/>
      <c r="Z737" s="98"/>
      <c r="AA737" s="98"/>
      <c r="AB737" s="98"/>
      <c r="AC737" s="98"/>
    </row>
    <row r="738">
      <c r="A738" s="98"/>
      <c r="B738" s="98"/>
      <c r="C738" s="98"/>
      <c r="D738" s="98"/>
      <c r="E738" s="121"/>
      <c r="F738" s="98"/>
      <c r="G738" s="98"/>
      <c r="H738" s="98"/>
      <c r="I738" s="98"/>
      <c r="J738" s="98"/>
      <c r="K738" s="98"/>
      <c r="L738" s="98"/>
      <c r="M738" s="98"/>
      <c r="N738" s="98"/>
      <c r="O738" s="98"/>
      <c r="P738" s="98"/>
      <c r="Q738" s="98"/>
      <c r="R738" s="98"/>
      <c r="S738" s="98"/>
      <c r="T738" s="98"/>
      <c r="U738" s="98"/>
      <c r="V738" s="98"/>
      <c r="W738" s="98"/>
      <c r="X738" s="98"/>
      <c r="Y738" s="98"/>
      <c r="Z738" s="98"/>
      <c r="AA738" s="98"/>
      <c r="AB738" s="98"/>
      <c r="AC738" s="98"/>
    </row>
    <row r="739">
      <c r="A739" s="98"/>
      <c r="B739" s="98"/>
      <c r="C739" s="98"/>
      <c r="D739" s="98"/>
      <c r="E739" s="121"/>
      <c r="F739" s="98"/>
      <c r="G739" s="98"/>
      <c r="H739" s="98"/>
      <c r="I739" s="98"/>
      <c r="J739" s="98"/>
      <c r="K739" s="98"/>
      <c r="L739" s="98"/>
      <c r="M739" s="98"/>
      <c r="N739" s="98"/>
      <c r="O739" s="98"/>
      <c r="P739" s="98"/>
      <c r="Q739" s="98"/>
      <c r="R739" s="98"/>
      <c r="S739" s="98"/>
      <c r="T739" s="98"/>
      <c r="U739" s="98"/>
      <c r="V739" s="98"/>
      <c r="W739" s="98"/>
      <c r="X739" s="98"/>
      <c r="Y739" s="98"/>
      <c r="Z739" s="98"/>
      <c r="AA739" s="98"/>
      <c r="AB739" s="98"/>
      <c r="AC739" s="98"/>
    </row>
    <row r="740">
      <c r="A740" s="98"/>
      <c r="B740" s="98"/>
      <c r="C740" s="98"/>
      <c r="D740" s="98"/>
      <c r="E740" s="121"/>
      <c r="F740" s="98"/>
      <c r="G740" s="98"/>
      <c r="H740" s="98"/>
      <c r="I740" s="98"/>
      <c r="J740" s="98"/>
      <c r="K740" s="98"/>
      <c r="L740" s="98"/>
      <c r="M740" s="98"/>
      <c r="N740" s="98"/>
      <c r="O740" s="98"/>
      <c r="P740" s="98"/>
      <c r="Q740" s="98"/>
      <c r="R740" s="98"/>
      <c r="S740" s="98"/>
      <c r="T740" s="98"/>
      <c r="U740" s="98"/>
      <c r="V740" s="98"/>
      <c r="W740" s="98"/>
      <c r="X740" s="98"/>
      <c r="Y740" s="98"/>
      <c r="Z740" s="98"/>
      <c r="AA740" s="98"/>
      <c r="AB740" s="98"/>
      <c r="AC740" s="98"/>
    </row>
    <row r="741">
      <c r="A741" s="98"/>
      <c r="B741" s="98"/>
      <c r="C741" s="98"/>
      <c r="D741" s="98"/>
      <c r="E741" s="121"/>
      <c r="F741" s="98"/>
      <c r="G741" s="98"/>
      <c r="H741" s="98"/>
      <c r="I741" s="98"/>
      <c r="J741" s="98"/>
      <c r="K741" s="98"/>
      <c r="L741" s="98"/>
      <c r="M741" s="98"/>
      <c r="N741" s="98"/>
      <c r="O741" s="98"/>
      <c r="P741" s="98"/>
      <c r="Q741" s="98"/>
      <c r="R741" s="98"/>
      <c r="S741" s="98"/>
      <c r="T741" s="98"/>
      <c r="U741" s="98"/>
      <c r="V741" s="98"/>
      <c r="W741" s="98"/>
      <c r="X741" s="98"/>
      <c r="Y741" s="98"/>
      <c r="Z741" s="98"/>
      <c r="AA741" s="98"/>
      <c r="AB741" s="98"/>
      <c r="AC741" s="98"/>
    </row>
    <row r="742">
      <c r="A742" s="98"/>
      <c r="B742" s="98"/>
      <c r="C742" s="98"/>
      <c r="D742" s="98"/>
      <c r="E742" s="121"/>
      <c r="F742" s="98"/>
      <c r="G742" s="98"/>
      <c r="H742" s="98"/>
      <c r="I742" s="98"/>
      <c r="J742" s="98"/>
      <c r="K742" s="98"/>
      <c r="L742" s="98"/>
      <c r="M742" s="98"/>
      <c r="N742" s="98"/>
      <c r="O742" s="98"/>
      <c r="P742" s="98"/>
      <c r="Q742" s="98"/>
      <c r="R742" s="98"/>
      <c r="S742" s="98"/>
      <c r="T742" s="98"/>
      <c r="U742" s="98"/>
      <c r="V742" s="98"/>
      <c r="W742" s="98"/>
      <c r="X742" s="98"/>
      <c r="Y742" s="98"/>
      <c r="Z742" s="98"/>
      <c r="AA742" s="98"/>
      <c r="AB742" s="98"/>
      <c r="AC742" s="98"/>
    </row>
    <row r="743">
      <c r="A743" s="98"/>
      <c r="B743" s="98"/>
      <c r="C743" s="98"/>
      <c r="D743" s="98"/>
      <c r="E743" s="121"/>
      <c r="F743" s="98"/>
      <c r="G743" s="98"/>
      <c r="H743" s="98"/>
      <c r="I743" s="98"/>
      <c r="J743" s="98"/>
      <c r="K743" s="98"/>
      <c r="L743" s="98"/>
      <c r="M743" s="98"/>
      <c r="N743" s="98"/>
      <c r="O743" s="98"/>
      <c r="P743" s="98"/>
      <c r="Q743" s="98"/>
      <c r="R743" s="98"/>
      <c r="S743" s="98"/>
      <c r="T743" s="98"/>
      <c r="U743" s="98"/>
      <c r="V743" s="98"/>
      <c r="W743" s="98"/>
      <c r="X743" s="98"/>
      <c r="Y743" s="98"/>
      <c r="Z743" s="98"/>
      <c r="AA743" s="98"/>
      <c r="AB743" s="98"/>
      <c r="AC743" s="98"/>
    </row>
    <row r="744">
      <c r="A744" s="98"/>
      <c r="B744" s="98"/>
      <c r="C744" s="98"/>
      <c r="D744" s="98"/>
      <c r="E744" s="121"/>
      <c r="F744" s="98"/>
      <c r="G744" s="98"/>
      <c r="H744" s="98"/>
      <c r="I744" s="98"/>
      <c r="J744" s="98"/>
      <c r="K744" s="98"/>
      <c r="L744" s="98"/>
      <c r="M744" s="98"/>
      <c r="N744" s="98"/>
      <c r="O744" s="98"/>
      <c r="P744" s="98"/>
      <c r="Q744" s="98"/>
      <c r="R744" s="98"/>
      <c r="S744" s="98"/>
      <c r="T744" s="98"/>
      <c r="U744" s="98"/>
      <c r="V744" s="98"/>
      <c r="W744" s="98"/>
      <c r="X744" s="98"/>
      <c r="Y744" s="98"/>
      <c r="Z744" s="98"/>
      <c r="AA744" s="98"/>
      <c r="AB744" s="98"/>
      <c r="AC744" s="98"/>
    </row>
    <row r="745">
      <c r="A745" s="98"/>
      <c r="B745" s="98"/>
      <c r="C745" s="98"/>
      <c r="D745" s="98"/>
      <c r="E745" s="121"/>
      <c r="F745" s="98"/>
      <c r="G745" s="98"/>
      <c r="H745" s="98"/>
      <c r="I745" s="98"/>
      <c r="J745" s="98"/>
      <c r="K745" s="98"/>
      <c r="L745" s="98"/>
      <c r="M745" s="98"/>
      <c r="N745" s="98"/>
      <c r="O745" s="98"/>
      <c r="P745" s="98"/>
      <c r="Q745" s="98"/>
      <c r="R745" s="98"/>
      <c r="S745" s="98"/>
      <c r="T745" s="98"/>
      <c r="U745" s="98"/>
      <c r="V745" s="98"/>
      <c r="W745" s="98"/>
      <c r="X745" s="98"/>
      <c r="Y745" s="98"/>
      <c r="Z745" s="98"/>
      <c r="AA745" s="98"/>
      <c r="AB745" s="98"/>
      <c r="AC745" s="98"/>
    </row>
    <row r="746">
      <c r="A746" s="98"/>
      <c r="B746" s="98"/>
      <c r="C746" s="98"/>
      <c r="D746" s="98"/>
      <c r="E746" s="121"/>
      <c r="F746" s="98"/>
      <c r="G746" s="98"/>
      <c r="H746" s="98"/>
      <c r="I746" s="98"/>
      <c r="J746" s="98"/>
      <c r="K746" s="98"/>
      <c r="L746" s="98"/>
      <c r="M746" s="98"/>
      <c r="N746" s="98"/>
      <c r="O746" s="98"/>
      <c r="P746" s="98"/>
      <c r="Q746" s="98"/>
      <c r="R746" s="98"/>
      <c r="S746" s="98"/>
      <c r="T746" s="98"/>
      <c r="U746" s="98"/>
      <c r="V746" s="98"/>
      <c r="W746" s="98"/>
      <c r="X746" s="98"/>
      <c r="Y746" s="98"/>
      <c r="Z746" s="98"/>
      <c r="AA746" s="98"/>
      <c r="AB746" s="98"/>
      <c r="AC746" s="98"/>
    </row>
    <row r="747">
      <c r="A747" s="98"/>
      <c r="B747" s="98"/>
      <c r="C747" s="98"/>
      <c r="D747" s="98"/>
      <c r="E747" s="121"/>
      <c r="F747" s="98"/>
      <c r="G747" s="98"/>
      <c r="H747" s="98"/>
      <c r="I747" s="98"/>
      <c r="J747" s="98"/>
      <c r="K747" s="98"/>
      <c r="L747" s="98"/>
      <c r="M747" s="98"/>
      <c r="N747" s="98"/>
      <c r="O747" s="98"/>
      <c r="P747" s="98"/>
      <c r="Q747" s="98"/>
      <c r="R747" s="98"/>
      <c r="S747" s="98"/>
      <c r="T747" s="98"/>
      <c r="U747" s="98"/>
      <c r="V747" s="98"/>
      <c r="W747" s="98"/>
      <c r="X747" s="98"/>
      <c r="Y747" s="98"/>
      <c r="Z747" s="98"/>
      <c r="AA747" s="98"/>
      <c r="AB747" s="98"/>
      <c r="AC747" s="98"/>
    </row>
    <row r="748">
      <c r="A748" s="98"/>
      <c r="B748" s="98"/>
      <c r="C748" s="98"/>
      <c r="D748" s="98"/>
      <c r="E748" s="121"/>
      <c r="F748" s="98"/>
      <c r="G748" s="98"/>
      <c r="H748" s="98"/>
      <c r="I748" s="98"/>
      <c r="J748" s="98"/>
      <c r="K748" s="98"/>
      <c r="L748" s="98"/>
      <c r="M748" s="98"/>
      <c r="N748" s="98"/>
      <c r="O748" s="98"/>
      <c r="P748" s="98"/>
      <c r="Q748" s="98"/>
      <c r="R748" s="98"/>
      <c r="S748" s="98"/>
      <c r="T748" s="98"/>
      <c r="U748" s="98"/>
      <c r="V748" s="98"/>
      <c r="W748" s="98"/>
      <c r="X748" s="98"/>
      <c r="Y748" s="98"/>
      <c r="Z748" s="98"/>
      <c r="AA748" s="98"/>
      <c r="AB748" s="98"/>
      <c r="AC748" s="98"/>
    </row>
    <row r="749">
      <c r="A749" s="98"/>
      <c r="B749" s="98"/>
      <c r="C749" s="98"/>
      <c r="D749" s="98"/>
      <c r="E749" s="121"/>
      <c r="F749" s="98"/>
      <c r="G749" s="98"/>
      <c r="H749" s="98"/>
      <c r="I749" s="98"/>
      <c r="J749" s="98"/>
      <c r="K749" s="98"/>
      <c r="L749" s="98"/>
      <c r="M749" s="98"/>
      <c r="N749" s="98"/>
      <c r="O749" s="98"/>
      <c r="P749" s="98"/>
      <c r="Q749" s="98"/>
      <c r="R749" s="98"/>
      <c r="S749" s="98"/>
      <c r="T749" s="98"/>
      <c r="U749" s="98"/>
      <c r="V749" s="98"/>
      <c r="W749" s="98"/>
      <c r="X749" s="98"/>
      <c r="Y749" s="98"/>
      <c r="Z749" s="98"/>
      <c r="AA749" s="98"/>
      <c r="AB749" s="98"/>
      <c r="AC749" s="98"/>
    </row>
    <row r="750">
      <c r="A750" s="98"/>
      <c r="B750" s="98"/>
      <c r="C750" s="98"/>
      <c r="D750" s="98"/>
      <c r="E750" s="121"/>
      <c r="F750" s="98"/>
      <c r="G750" s="98"/>
      <c r="H750" s="98"/>
      <c r="I750" s="98"/>
      <c r="J750" s="98"/>
      <c r="K750" s="98"/>
      <c r="L750" s="98"/>
      <c r="M750" s="98"/>
      <c r="N750" s="98"/>
      <c r="O750" s="98"/>
      <c r="P750" s="98"/>
      <c r="Q750" s="98"/>
      <c r="R750" s="98"/>
      <c r="S750" s="98"/>
      <c r="T750" s="98"/>
      <c r="U750" s="98"/>
      <c r="V750" s="98"/>
      <c r="W750" s="98"/>
      <c r="X750" s="98"/>
      <c r="Y750" s="98"/>
      <c r="Z750" s="98"/>
      <c r="AA750" s="98"/>
      <c r="AB750" s="98"/>
      <c r="AC750" s="98"/>
    </row>
    <row r="751">
      <c r="A751" s="98"/>
      <c r="B751" s="98"/>
      <c r="C751" s="98"/>
      <c r="D751" s="98"/>
      <c r="E751" s="121"/>
      <c r="F751" s="98"/>
      <c r="G751" s="98"/>
      <c r="H751" s="98"/>
      <c r="I751" s="98"/>
      <c r="J751" s="98"/>
      <c r="K751" s="98"/>
      <c r="L751" s="98"/>
      <c r="M751" s="98"/>
      <c r="N751" s="98"/>
      <c r="O751" s="98"/>
      <c r="P751" s="98"/>
      <c r="Q751" s="98"/>
      <c r="R751" s="98"/>
      <c r="S751" s="98"/>
      <c r="T751" s="98"/>
      <c r="U751" s="98"/>
      <c r="V751" s="98"/>
      <c r="W751" s="98"/>
      <c r="X751" s="98"/>
      <c r="Y751" s="98"/>
      <c r="Z751" s="98"/>
      <c r="AA751" s="98"/>
      <c r="AB751" s="98"/>
      <c r="AC751" s="98"/>
    </row>
    <row r="752">
      <c r="A752" s="98"/>
      <c r="B752" s="98"/>
      <c r="C752" s="98"/>
      <c r="D752" s="98"/>
      <c r="E752" s="121"/>
      <c r="F752" s="98"/>
      <c r="G752" s="98"/>
      <c r="H752" s="98"/>
      <c r="I752" s="98"/>
      <c r="J752" s="98"/>
      <c r="K752" s="98"/>
      <c r="L752" s="98"/>
      <c r="M752" s="98"/>
      <c r="N752" s="98"/>
      <c r="O752" s="98"/>
      <c r="P752" s="98"/>
      <c r="Q752" s="98"/>
      <c r="R752" s="98"/>
      <c r="S752" s="98"/>
      <c r="T752" s="98"/>
      <c r="U752" s="98"/>
      <c r="V752" s="98"/>
      <c r="W752" s="98"/>
      <c r="X752" s="98"/>
      <c r="Y752" s="98"/>
      <c r="Z752" s="98"/>
      <c r="AA752" s="98"/>
      <c r="AB752" s="98"/>
      <c r="AC752" s="98"/>
    </row>
    <row r="753">
      <c r="A753" s="98"/>
      <c r="B753" s="98"/>
      <c r="C753" s="98"/>
      <c r="D753" s="98"/>
      <c r="E753" s="121"/>
      <c r="F753" s="98"/>
      <c r="G753" s="98"/>
      <c r="H753" s="98"/>
      <c r="I753" s="98"/>
      <c r="J753" s="98"/>
      <c r="K753" s="98"/>
      <c r="L753" s="98"/>
      <c r="M753" s="98"/>
      <c r="N753" s="98"/>
      <c r="O753" s="98"/>
      <c r="P753" s="98"/>
      <c r="Q753" s="98"/>
      <c r="R753" s="98"/>
      <c r="S753" s="98"/>
      <c r="T753" s="98"/>
      <c r="U753" s="98"/>
      <c r="V753" s="98"/>
      <c r="W753" s="98"/>
      <c r="X753" s="98"/>
      <c r="Y753" s="98"/>
      <c r="Z753" s="98"/>
      <c r="AA753" s="98"/>
      <c r="AB753" s="98"/>
      <c r="AC753" s="98"/>
    </row>
    <row r="754">
      <c r="A754" s="98"/>
      <c r="B754" s="98"/>
      <c r="C754" s="98"/>
      <c r="D754" s="98"/>
      <c r="E754" s="121"/>
      <c r="F754" s="98"/>
      <c r="G754" s="98"/>
      <c r="H754" s="98"/>
      <c r="I754" s="98"/>
      <c r="J754" s="98"/>
      <c r="K754" s="98"/>
      <c r="L754" s="98"/>
      <c r="M754" s="98"/>
      <c r="N754" s="98"/>
      <c r="O754" s="98"/>
      <c r="P754" s="98"/>
      <c r="Q754" s="98"/>
      <c r="R754" s="98"/>
      <c r="S754" s="98"/>
      <c r="T754" s="98"/>
      <c r="U754" s="98"/>
      <c r="V754" s="98"/>
      <c r="W754" s="98"/>
      <c r="X754" s="98"/>
      <c r="Y754" s="98"/>
      <c r="Z754" s="98"/>
      <c r="AA754" s="98"/>
      <c r="AB754" s="98"/>
      <c r="AC754" s="98"/>
    </row>
    <row r="755">
      <c r="A755" s="98"/>
      <c r="B755" s="98"/>
      <c r="C755" s="98"/>
      <c r="D755" s="98"/>
      <c r="E755" s="121"/>
      <c r="F755" s="98"/>
      <c r="G755" s="98"/>
      <c r="H755" s="98"/>
      <c r="I755" s="98"/>
      <c r="J755" s="98"/>
      <c r="K755" s="98"/>
      <c r="L755" s="98"/>
      <c r="M755" s="98"/>
      <c r="N755" s="98"/>
      <c r="O755" s="98"/>
      <c r="P755" s="98"/>
      <c r="Q755" s="98"/>
      <c r="R755" s="98"/>
      <c r="S755" s="98"/>
      <c r="T755" s="98"/>
      <c r="U755" s="98"/>
      <c r="V755" s="98"/>
      <c r="W755" s="98"/>
      <c r="X755" s="98"/>
      <c r="Y755" s="98"/>
      <c r="Z755" s="98"/>
      <c r="AA755" s="98"/>
      <c r="AB755" s="98"/>
      <c r="AC755" s="98"/>
    </row>
    <row r="756">
      <c r="A756" s="98"/>
      <c r="B756" s="98"/>
      <c r="C756" s="98"/>
      <c r="D756" s="98"/>
      <c r="E756" s="121"/>
      <c r="F756" s="98"/>
      <c r="G756" s="98"/>
      <c r="H756" s="98"/>
      <c r="I756" s="98"/>
      <c r="J756" s="98"/>
      <c r="K756" s="98"/>
      <c r="L756" s="98"/>
      <c r="M756" s="98"/>
      <c r="N756" s="98"/>
      <c r="O756" s="98"/>
      <c r="P756" s="98"/>
      <c r="Q756" s="98"/>
      <c r="R756" s="98"/>
      <c r="S756" s="98"/>
      <c r="T756" s="98"/>
      <c r="U756" s="98"/>
      <c r="V756" s="98"/>
      <c r="W756" s="98"/>
      <c r="X756" s="98"/>
      <c r="Y756" s="98"/>
      <c r="Z756" s="98"/>
      <c r="AA756" s="98"/>
      <c r="AB756" s="98"/>
      <c r="AC756" s="98"/>
    </row>
    <row r="757">
      <c r="A757" s="98"/>
      <c r="B757" s="98"/>
      <c r="C757" s="98"/>
      <c r="D757" s="98"/>
      <c r="E757" s="121"/>
      <c r="F757" s="98"/>
      <c r="G757" s="98"/>
      <c r="H757" s="98"/>
      <c r="I757" s="98"/>
      <c r="J757" s="98"/>
      <c r="K757" s="98"/>
      <c r="L757" s="98"/>
      <c r="M757" s="98"/>
      <c r="N757" s="98"/>
      <c r="O757" s="98"/>
      <c r="P757" s="98"/>
      <c r="Q757" s="98"/>
      <c r="R757" s="98"/>
      <c r="S757" s="98"/>
      <c r="T757" s="98"/>
      <c r="U757" s="98"/>
      <c r="V757" s="98"/>
      <c r="W757" s="98"/>
      <c r="X757" s="98"/>
      <c r="Y757" s="98"/>
      <c r="Z757" s="98"/>
      <c r="AA757" s="98"/>
      <c r="AB757" s="98"/>
      <c r="AC757" s="98"/>
    </row>
    <row r="758">
      <c r="A758" s="98"/>
      <c r="B758" s="98"/>
      <c r="C758" s="98"/>
      <c r="D758" s="98"/>
      <c r="E758" s="121"/>
      <c r="F758" s="98"/>
      <c r="G758" s="98"/>
      <c r="H758" s="98"/>
      <c r="I758" s="98"/>
      <c r="J758" s="98"/>
      <c r="K758" s="98"/>
      <c r="L758" s="98"/>
      <c r="M758" s="98"/>
      <c r="N758" s="98"/>
      <c r="O758" s="98"/>
      <c r="P758" s="98"/>
      <c r="Q758" s="98"/>
      <c r="R758" s="98"/>
      <c r="S758" s="98"/>
      <c r="T758" s="98"/>
      <c r="U758" s="98"/>
      <c r="V758" s="98"/>
      <c r="W758" s="98"/>
      <c r="X758" s="98"/>
      <c r="Y758" s="98"/>
      <c r="Z758" s="98"/>
      <c r="AA758" s="98"/>
      <c r="AB758" s="98"/>
      <c r="AC758" s="98"/>
    </row>
    <row r="759">
      <c r="A759" s="98"/>
      <c r="B759" s="98"/>
      <c r="C759" s="98"/>
      <c r="D759" s="98"/>
      <c r="E759" s="121"/>
      <c r="F759" s="98"/>
      <c r="G759" s="98"/>
      <c r="H759" s="98"/>
      <c r="I759" s="98"/>
      <c r="J759" s="98"/>
      <c r="K759" s="98"/>
      <c r="L759" s="98"/>
      <c r="M759" s="98"/>
      <c r="N759" s="98"/>
      <c r="O759" s="98"/>
      <c r="P759" s="98"/>
      <c r="Q759" s="98"/>
      <c r="R759" s="98"/>
      <c r="S759" s="98"/>
      <c r="T759" s="98"/>
      <c r="U759" s="98"/>
      <c r="V759" s="98"/>
      <c r="W759" s="98"/>
      <c r="X759" s="98"/>
      <c r="Y759" s="98"/>
      <c r="Z759" s="98"/>
      <c r="AA759" s="98"/>
      <c r="AB759" s="98"/>
      <c r="AC759" s="98"/>
    </row>
    <row r="760">
      <c r="A760" s="98"/>
      <c r="B760" s="98"/>
      <c r="C760" s="98"/>
      <c r="D760" s="98"/>
      <c r="E760" s="121"/>
      <c r="F760" s="98"/>
      <c r="G760" s="98"/>
      <c r="H760" s="98"/>
      <c r="I760" s="98"/>
      <c r="J760" s="98"/>
      <c r="K760" s="98"/>
      <c r="L760" s="98"/>
      <c r="M760" s="98"/>
      <c r="N760" s="98"/>
      <c r="O760" s="98"/>
      <c r="P760" s="98"/>
      <c r="Q760" s="98"/>
      <c r="R760" s="98"/>
      <c r="S760" s="98"/>
      <c r="T760" s="98"/>
      <c r="U760" s="98"/>
      <c r="V760" s="98"/>
      <c r="W760" s="98"/>
      <c r="X760" s="98"/>
      <c r="Y760" s="98"/>
      <c r="Z760" s="98"/>
      <c r="AA760" s="98"/>
      <c r="AB760" s="98"/>
      <c r="AC760" s="98"/>
    </row>
    <row r="761">
      <c r="A761" s="98"/>
      <c r="B761" s="98"/>
      <c r="C761" s="98"/>
      <c r="D761" s="98"/>
      <c r="E761" s="121"/>
      <c r="F761" s="98"/>
      <c r="G761" s="98"/>
      <c r="H761" s="98"/>
      <c r="I761" s="98"/>
      <c r="J761" s="98"/>
      <c r="K761" s="98"/>
      <c r="L761" s="98"/>
      <c r="M761" s="98"/>
      <c r="N761" s="98"/>
      <c r="O761" s="98"/>
      <c r="P761" s="98"/>
      <c r="Q761" s="98"/>
      <c r="R761" s="98"/>
      <c r="S761" s="98"/>
      <c r="T761" s="98"/>
      <c r="U761" s="98"/>
      <c r="V761" s="98"/>
      <c r="W761" s="98"/>
      <c r="X761" s="98"/>
      <c r="Y761" s="98"/>
      <c r="Z761" s="98"/>
      <c r="AA761" s="98"/>
      <c r="AB761" s="98"/>
      <c r="AC761" s="98"/>
    </row>
    <row r="762">
      <c r="A762" s="98"/>
      <c r="B762" s="98"/>
      <c r="C762" s="98"/>
      <c r="D762" s="98"/>
      <c r="E762" s="121"/>
      <c r="F762" s="98"/>
      <c r="G762" s="98"/>
      <c r="H762" s="98"/>
      <c r="I762" s="98"/>
      <c r="J762" s="98"/>
      <c r="K762" s="98"/>
      <c r="L762" s="98"/>
      <c r="M762" s="98"/>
      <c r="N762" s="98"/>
      <c r="O762" s="98"/>
      <c r="P762" s="98"/>
      <c r="Q762" s="98"/>
      <c r="R762" s="98"/>
      <c r="S762" s="98"/>
      <c r="T762" s="98"/>
      <c r="U762" s="98"/>
      <c r="V762" s="98"/>
      <c r="W762" s="98"/>
      <c r="X762" s="98"/>
      <c r="Y762" s="98"/>
      <c r="Z762" s="98"/>
      <c r="AA762" s="98"/>
      <c r="AB762" s="98"/>
      <c r="AC762" s="98"/>
    </row>
    <row r="763">
      <c r="A763" s="98"/>
      <c r="B763" s="98"/>
      <c r="C763" s="98"/>
      <c r="D763" s="98"/>
      <c r="E763" s="121"/>
      <c r="F763" s="98"/>
      <c r="G763" s="98"/>
      <c r="H763" s="98"/>
      <c r="I763" s="98"/>
      <c r="J763" s="98"/>
      <c r="K763" s="98"/>
      <c r="L763" s="98"/>
      <c r="M763" s="98"/>
      <c r="N763" s="98"/>
      <c r="O763" s="98"/>
      <c r="P763" s="98"/>
      <c r="Q763" s="98"/>
      <c r="R763" s="98"/>
      <c r="S763" s="98"/>
      <c r="T763" s="98"/>
      <c r="U763" s="98"/>
      <c r="V763" s="98"/>
      <c r="W763" s="98"/>
      <c r="X763" s="98"/>
      <c r="Y763" s="98"/>
      <c r="Z763" s="98"/>
      <c r="AA763" s="98"/>
      <c r="AB763" s="98"/>
      <c r="AC763" s="98"/>
    </row>
    <row r="764">
      <c r="A764" s="98"/>
      <c r="B764" s="98"/>
      <c r="C764" s="98"/>
      <c r="D764" s="98"/>
      <c r="E764" s="121"/>
      <c r="F764" s="98"/>
      <c r="G764" s="98"/>
      <c r="H764" s="98"/>
      <c r="I764" s="98"/>
      <c r="J764" s="98"/>
      <c r="K764" s="98"/>
      <c r="L764" s="98"/>
      <c r="M764" s="98"/>
      <c r="N764" s="98"/>
      <c r="O764" s="98"/>
      <c r="P764" s="98"/>
      <c r="Q764" s="98"/>
      <c r="R764" s="98"/>
      <c r="S764" s="98"/>
      <c r="T764" s="98"/>
      <c r="U764" s="98"/>
      <c r="V764" s="98"/>
      <c r="W764" s="98"/>
      <c r="X764" s="98"/>
      <c r="Y764" s="98"/>
      <c r="Z764" s="98"/>
      <c r="AA764" s="98"/>
      <c r="AB764" s="98"/>
      <c r="AC764" s="98"/>
    </row>
    <row r="765">
      <c r="A765" s="98"/>
      <c r="B765" s="98"/>
      <c r="C765" s="98"/>
      <c r="D765" s="98"/>
      <c r="E765" s="121"/>
      <c r="F765" s="98"/>
      <c r="G765" s="98"/>
      <c r="H765" s="98"/>
      <c r="I765" s="98"/>
      <c r="J765" s="98"/>
      <c r="K765" s="98"/>
      <c r="L765" s="98"/>
      <c r="M765" s="98"/>
      <c r="N765" s="98"/>
      <c r="O765" s="98"/>
      <c r="P765" s="98"/>
      <c r="Q765" s="98"/>
      <c r="R765" s="98"/>
      <c r="S765" s="98"/>
      <c r="T765" s="98"/>
      <c r="U765" s="98"/>
      <c r="V765" s="98"/>
      <c r="W765" s="98"/>
      <c r="X765" s="98"/>
      <c r="Y765" s="98"/>
      <c r="Z765" s="98"/>
      <c r="AA765" s="98"/>
      <c r="AB765" s="98"/>
      <c r="AC765" s="98"/>
    </row>
    <row r="766">
      <c r="A766" s="98"/>
      <c r="B766" s="98"/>
      <c r="C766" s="98"/>
      <c r="D766" s="98"/>
      <c r="E766" s="121"/>
      <c r="F766" s="98"/>
      <c r="G766" s="98"/>
      <c r="H766" s="98"/>
      <c r="I766" s="98"/>
      <c r="J766" s="98"/>
      <c r="K766" s="98"/>
      <c r="L766" s="98"/>
      <c r="M766" s="98"/>
      <c r="N766" s="98"/>
      <c r="O766" s="98"/>
      <c r="P766" s="98"/>
      <c r="Q766" s="98"/>
      <c r="R766" s="98"/>
      <c r="S766" s="98"/>
      <c r="T766" s="98"/>
      <c r="U766" s="98"/>
      <c r="V766" s="98"/>
      <c r="W766" s="98"/>
      <c r="X766" s="98"/>
      <c r="Y766" s="98"/>
      <c r="Z766" s="98"/>
      <c r="AA766" s="98"/>
      <c r="AB766" s="98"/>
      <c r="AC766" s="98"/>
    </row>
    <row r="767">
      <c r="A767" s="98"/>
      <c r="B767" s="98"/>
      <c r="C767" s="98"/>
      <c r="D767" s="98"/>
      <c r="E767" s="121"/>
      <c r="F767" s="98"/>
      <c r="G767" s="98"/>
      <c r="H767" s="98"/>
      <c r="I767" s="98"/>
      <c r="J767" s="98"/>
      <c r="K767" s="98"/>
      <c r="L767" s="98"/>
      <c r="M767" s="98"/>
      <c r="N767" s="98"/>
      <c r="O767" s="98"/>
      <c r="P767" s="98"/>
      <c r="Q767" s="98"/>
      <c r="R767" s="98"/>
      <c r="S767" s="98"/>
      <c r="T767" s="98"/>
      <c r="U767" s="98"/>
      <c r="V767" s="98"/>
      <c r="W767" s="98"/>
      <c r="X767" s="98"/>
      <c r="Y767" s="98"/>
      <c r="Z767" s="98"/>
      <c r="AA767" s="98"/>
      <c r="AB767" s="98"/>
      <c r="AC767" s="98"/>
    </row>
    <row r="768">
      <c r="A768" s="98"/>
      <c r="B768" s="98"/>
      <c r="C768" s="98"/>
      <c r="D768" s="98"/>
      <c r="E768" s="121"/>
      <c r="F768" s="98"/>
      <c r="G768" s="98"/>
      <c r="H768" s="98"/>
      <c r="I768" s="98"/>
      <c r="J768" s="98"/>
      <c r="K768" s="98"/>
      <c r="L768" s="98"/>
      <c r="M768" s="98"/>
      <c r="N768" s="98"/>
      <c r="O768" s="98"/>
      <c r="P768" s="98"/>
      <c r="Q768" s="98"/>
      <c r="R768" s="98"/>
      <c r="S768" s="98"/>
      <c r="T768" s="98"/>
      <c r="U768" s="98"/>
      <c r="V768" s="98"/>
      <c r="W768" s="98"/>
      <c r="X768" s="98"/>
      <c r="Y768" s="98"/>
      <c r="Z768" s="98"/>
      <c r="AA768" s="98"/>
      <c r="AB768" s="98"/>
      <c r="AC768" s="98"/>
    </row>
    <row r="769">
      <c r="A769" s="98"/>
      <c r="B769" s="98"/>
      <c r="C769" s="98"/>
      <c r="D769" s="98"/>
      <c r="E769" s="121"/>
      <c r="F769" s="98"/>
      <c r="G769" s="98"/>
      <c r="H769" s="98"/>
      <c r="I769" s="98"/>
      <c r="J769" s="98"/>
      <c r="K769" s="98"/>
      <c r="L769" s="98"/>
      <c r="M769" s="98"/>
      <c r="N769" s="98"/>
      <c r="O769" s="98"/>
      <c r="P769" s="98"/>
      <c r="Q769" s="98"/>
      <c r="R769" s="98"/>
      <c r="S769" s="98"/>
      <c r="T769" s="98"/>
      <c r="U769" s="98"/>
      <c r="V769" s="98"/>
      <c r="W769" s="98"/>
      <c r="X769" s="98"/>
      <c r="Y769" s="98"/>
      <c r="Z769" s="98"/>
      <c r="AA769" s="98"/>
      <c r="AB769" s="98"/>
      <c r="AC769" s="98"/>
    </row>
    <row r="770">
      <c r="A770" s="98"/>
      <c r="B770" s="98"/>
      <c r="C770" s="98"/>
      <c r="D770" s="98"/>
      <c r="E770" s="121"/>
      <c r="F770" s="98"/>
      <c r="G770" s="98"/>
      <c r="H770" s="98"/>
      <c r="I770" s="98"/>
      <c r="J770" s="98"/>
      <c r="K770" s="98"/>
      <c r="L770" s="98"/>
      <c r="M770" s="98"/>
      <c r="N770" s="98"/>
      <c r="O770" s="98"/>
      <c r="P770" s="98"/>
      <c r="Q770" s="98"/>
      <c r="R770" s="98"/>
      <c r="S770" s="98"/>
      <c r="T770" s="98"/>
      <c r="U770" s="98"/>
      <c r="V770" s="98"/>
      <c r="W770" s="98"/>
      <c r="X770" s="98"/>
      <c r="Y770" s="98"/>
      <c r="Z770" s="98"/>
      <c r="AA770" s="98"/>
      <c r="AB770" s="98"/>
      <c r="AC770" s="98"/>
    </row>
    <row r="771">
      <c r="A771" s="98"/>
      <c r="B771" s="98"/>
      <c r="C771" s="98"/>
      <c r="D771" s="98"/>
      <c r="E771" s="121"/>
      <c r="F771" s="98"/>
      <c r="G771" s="98"/>
      <c r="H771" s="98"/>
      <c r="I771" s="98"/>
      <c r="J771" s="98"/>
      <c r="K771" s="98"/>
      <c r="L771" s="98"/>
      <c r="M771" s="98"/>
      <c r="N771" s="98"/>
      <c r="O771" s="98"/>
      <c r="P771" s="98"/>
      <c r="Q771" s="98"/>
      <c r="R771" s="98"/>
      <c r="S771" s="98"/>
      <c r="T771" s="98"/>
      <c r="U771" s="98"/>
      <c r="V771" s="98"/>
      <c r="W771" s="98"/>
      <c r="X771" s="98"/>
      <c r="Y771" s="98"/>
      <c r="Z771" s="98"/>
      <c r="AA771" s="98"/>
      <c r="AB771" s="98"/>
      <c r="AC771" s="98"/>
    </row>
    <row r="772">
      <c r="A772" s="98"/>
      <c r="B772" s="98"/>
      <c r="C772" s="98"/>
      <c r="D772" s="98"/>
      <c r="E772" s="121"/>
      <c r="F772" s="98"/>
      <c r="G772" s="98"/>
      <c r="H772" s="98"/>
      <c r="I772" s="98"/>
      <c r="J772" s="98"/>
      <c r="K772" s="98"/>
      <c r="L772" s="98"/>
      <c r="M772" s="98"/>
      <c r="N772" s="98"/>
      <c r="O772" s="98"/>
      <c r="P772" s="98"/>
      <c r="Q772" s="98"/>
      <c r="R772" s="98"/>
      <c r="S772" s="98"/>
      <c r="T772" s="98"/>
      <c r="U772" s="98"/>
      <c r="V772" s="98"/>
      <c r="W772" s="98"/>
      <c r="X772" s="98"/>
      <c r="Y772" s="98"/>
      <c r="Z772" s="98"/>
      <c r="AA772" s="98"/>
      <c r="AB772" s="98"/>
      <c r="AC772" s="98"/>
    </row>
    <row r="773">
      <c r="A773" s="98"/>
      <c r="B773" s="98"/>
      <c r="C773" s="98"/>
      <c r="D773" s="98"/>
      <c r="E773" s="121"/>
      <c r="F773" s="98"/>
      <c r="G773" s="98"/>
      <c r="H773" s="98"/>
      <c r="I773" s="98"/>
      <c r="J773" s="98"/>
      <c r="K773" s="98"/>
      <c r="L773" s="98"/>
      <c r="M773" s="98"/>
      <c r="N773" s="98"/>
      <c r="O773" s="98"/>
      <c r="P773" s="98"/>
      <c r="Q773" s="98"/>
      <c r="R773" s="98"/>
      <c r="S773" s="98"/>
      <c r="T773" s="98"/>
      <c r="U773" s="98"/>
      <c r="V773" s="98"/>
      <c r="W773" s="98"/>
      <c r="X773" s="98"/>
      <c r="Y773" s="98"/>
      <c r="Z773" s="98"/>
      <c r="AA773" s="98"/>
      <c r="AB773" s="98"/>
      <c r="AC773" s="98"/>
    </row>
    <row r="774">
      <c r="A774" s="98"/>
      <c r="B774" s="98"/>
      <c r="C774" s="98"/>
      <c r="D774" s="98"/>
      <c r="E774" s="121"/>
      <c r="F774" s="98"/>
      <c r="G774" s="98"/>
      <c r="H774" s="98"/>
      <c r="I774" s="98"/>
      <c r="J774" s="98"/>
      <c r="K774" s="98"/>
      <c r="L774" s="98"/>
      <c r="M774" s="98"/>
      <c r="N774" s="98"/>
      <c r="O774" s="98"/>
      <c r="P774" s="98"/>
      <c r="Q774" s="98"/>
      <c r="R774" s="98"/>
      <c r="S774" s="98"/>
      <c r="T774" s="98"/>
      <c r="U774" s="98"/>
      <c r="V774" s="98"/>
      <c r="W774" s="98"/>
      <c r="X774" s="98"/>
      <c r="Y774" s="98"/>
      <c r="Z774" s="98"/>
      <c r="AA774" s="98"/>
      <c r="AB774" s="98"/>
      <c r="AC774" s="98"/>
    </row>
    <row r="775">
      <c r="A775" s="98"/>
      <c r="B775" s="98"/>
      <c r="C775" s="98"/>
      <c r="D775" s="98"/>
      <c r="E775" s="121"/>
      <c r="F775" s="98"/>
      <c r="G775" s="98"/>
      <c r="H775" s="98"/>
      <c r="I775" s="98"/>
      <c r="J775" s="98"/>
      <c r="K775" s="98"/>
      <c r="L775" s="98"/>
      <c r="M775" s="98"/>
      <c r="N775" s="98"/>
      <c r="O775" s="98"/>
      <c r="P775" s="98"/>
      <c r="Q775" s="98"/>
      <c r="R775" s="98"/>
      <c r="S775" s="98"/>
      <c r="T775" s="98"/>
      <c r="U775" s="98"/>
      <c r="V775" s="98"/>
      <c r="W775" s="98"/>
      <c r="X775" s="98"/>
      <c r="Y775" s="98"/>
      <c r="Z775" s="98"/>
      <c r="AA775" s="98"/>
      <c r="AB775" s="98"/>
      <c r="AC775" s="98"/>
    </row>
    <row r="776">
      <c r="A776" s="98"/>
      <c r="B776" s="98"/>
      <c r="C776" s="98"/>
      <c r="D776" s="98"/>
      <c r="E776" s="121"/>
      <c r="F776" s="98"/>
      <c r="G776" s="98"/>
      <c r="H776" s="98"/>
      <c r="I776" s="98"/>
      <c r="J776" s="98"/>
      <c r="K776" s="98"/>
      <c r="L776" s="98"/>
      <c r="M776" s="98"/>
      <c r="N776" s="98"/>
      <c r="O776" s="98"/>
      <c r="P776" s="98"/>
      <c r="Q776" s="98"/>
      <c r="R776" s="98"/>
      <c r="S776" s="98"/>
      <c r="T776" s="98"/>
      <c r="U776" s="98"/>
      <c r="V776" s="98"/>
      <c r="W776" s="98"/>
      <c r="X776" s="98"/>
      <c r="Y776" s="98"/>
      <c r="Z776" s="98"/>
      <c r="AA776" s="98"/>
      <c r="AB776" s="98"/>
      <c r="AC776" s="98"/>
    </row>
    <row r="777">
      <c r="A777" s="98"/>
      <c r="B777" s="98"/>
      <c r="C777" s="98"/>
      <c r="D777" s="98"/>
      <c r="E777" s="121"/>
      <c r="F777" s="98"/>
      <c r="G777" s="98"/>
      <c r="H777" s="98"/>
      <c r="I777" s="98"/>
      <c r="J777" s="98"/>
      <c r="K777" s="98"/>
      <c r="L777" s="98"/>
      <c r="M777" s="98"/>
      <c r="N777" s="98"/>
      <c r="O777" s="98"/>
      <c r="P777" s="98"/>
      <c r="Q777" s="98"/>
      <c r="R777" s="98"/>
      <c r="S777" s="98"/>
      <c r="T777" s="98"/>
      <c r="U777" s="98"/>
      <c r="V777" s="98"/>
      <c r="W777" s="98"/>
      <c r="X777" s="98"/>
      <c r="Y777" s="98"/>
      <c r="Z777" s="98"/>
      <c r="AA777" s="98"/>
      <c r="AB777" s="98"/>
      <c r="AC777" s="98"/>
    </row>
    <row r="778">
      <c r="A778" s="98"/>
      <c r="B778" s="98"/>
      <c r="C778" s="98"/>
      <c r="D778" s="98"/>
      <c r="E778" s="121"/>
      <c r="F778" s="98"/>
      <c r="G778" s="98"/>
      <c r="H778" s="98"/>
      <c r="I778" s="98"/>
      <c r="J778" s="98"/>
      <c r="K778" s="98"/>
      <c r="L778" s="98"/>
      <c r="M778" s="98"/>
      <c r="N778" s="98"/>
      <c r="O778" s="98"/>
      <c r="P778" s="98"/>
      <c r="Q778" s="98"/>
      <c r="R778" s="98"/>
      <c r="S778" s="98"/>
      <c r="T778" s="98"/>
      <c r="U778" s="98"/>
      <c r="V778" s="98"/>
      <c r="W778" s="98"/>
      <c r="X778" s="98"/>
      <c r="Y778" s="98"/>
      <c r="Z778" s="98"/>
      <c r="AA778" s="98"/>
      <c r="AB778" s="98"/>
      <c r="AC778" s="98"/>
    </row>
    <row r="779">
      <c r="A779" s="98"/>
      <c r="B779" s="98"/>
      <c r="C779" s="98"/>
      <c r="D779" s="98"/>
      <c r="E779" s="121"/>
      <c r="F779" s="98"/>
      <c r="G779" s="98"/>
      <c r="H779" s="98"/>
      <c r="I779" s="98"/>
      <c r="J779" s="98"/>
      <c r="K779" s="98"/>
      <c r="L779" s="98"/>
      <c r="M779" s="98"/>
      <c r="N779" s="98"/>
      <c r="O779" s="98"/>
      <c r="P779" s="98"/>
      <c r="Q779" s="98"/>
      <c r="R779" s="98"/>
      <c r="S779" s="98"/>
      <c r="T779" s="98"/>
      <c r="U779" s="98"/>
      <c r="V779" s="98"/>
      <c r="W779" s="98"/>
      <c r="X779" s="98"/>
      <c r="Y779" s="98"/>
      <c r="Z779" s="98"/>
      <c r="AA779" s="98"/>
      <c r="AB779" s="98"/>
      <c r="AC779" s="98"/>
    </row>
    <row r="780">
      <c r="A780" s="98"/>
      <c r="B780" s="98"/>
      <c r="C780" s="98"/>
      <c r="D780" s="98"/>
      <c r="E780" s="121"/>
      <c r="F780" s="98"/>
      <c r="G780" s="98"/>
      <c r="H780" s="98"/>
      <c r="I780" s="98"/>
      <c r="J780" s="98"/>
      <c r="K780" s="98"/>
      <c r="L780" s="98"/>
      <c r="M780" s="98"/>
      <c r="N780" s="98"/>
      <c r="O780" s="98"/>
      <c r="P780" s="98"/>
      <c r="Q780" s="98"/>
      <c r="R780" s="98"/>
      <c r="S780" s="98"/>
      <c r="T780" s="98"/>
      <c r="U780" s="98"/>
      <c r="V780" s="98"/>
      <c r="W780" s="98"/>
      <c r="X780" s="98"/>
      <c r="Y780" s="98"/>
      <c r="Z780" s="98"/>
      <c r="AA780" s="98"/>
      <c r="AB780" s="98"/>
      <c r="AC780" s="98"/>
    </row>
    <row r="781">
      <c r="A781" s="98"/>
      <c r="B781" s="98"/>
      <c r="C781" s="98"/>
      <c r="D781" s="98"/>
      <c r="E781" s="121"/>
      <c r="F781" s="98"/>
      <c r="G781" s="98"/>
      <c r="H781" s="98"/>
      <c r="I781" s="98"/>
      <c r="J781" s="98"/>
      <c r="K781" s="98"/>
      <c r="L781" s="98"/>
      <c r="M781" s="98"/>
      <c r="N781" s="98"/>
      <c r="O781" s="98"/>
      <c r="P781" s="98"/>
      <c r="Q781" s="98"/>
      <c r="R781" s="98"/>
      <c r="S781" s="98"/>
      <c r="T781" s="98"/>
      <c r="U781" s="98"/>
      <c r="V781" s="98"/>
      <c r="W781" s="98"/>
      <c r="X781" s="98"/>
      <c r="Y781" s="98"/>
      <c r="Z781" s="98"/>
      <c r="AA781" s="98"/>
      <c r="AB781" s="98"/>
      <c r="AC781" s="98"/>
    </row>
    <row r="782">
      <c r="A782" s="98"/>
      <c r="B782" s="98"/>
      <c r="C782" s="98"/>
      <c r="D782" s="98"/>
      <c r="E782" s="121"/>
      <c r="F782" s="98"/>
      <c r="G782" s="98"/>
      <c r="H782" s="98"/>
      <c r="I782" s="98"/>
      <c r="J782" s="98"/>
      <c r="K782" s="98"/>
      <c r="L782" s="98"/>
      <c r="M782" s="98"/>
      <c r="N782" s="98"/>
      <c r="O782" s="98"/>
      <c r="P782" s="98"/>
      <c r="Q782" s="98"/>
      <c r="R782" s="98"/>
      <c r="S782" s="98"/>
      <c r="T782" s="98"/>
      <c r="U782" s="98"/>
      <c r="V782" s="98"/>
      <c r="W782" s="98"/>
      <c r="X782" s="98"/>
      <c r="Y782" s="98"/>
      <c r="Z782" s="98"/>
      <c r="AA782" s="98"/>
      <c r="AB782" s="98"/>
      <c r="AC782" s="98"/>
    </row>
    <row r="783">
      <c r="A783" s="98"/>
      <c r="B783" s="98"/>
      <c r="C783" s="98"/>
      <c r="D783" s="98"/>
      <c r="E783" s="121"/>
      <c r="F783" s="98"/>
      <c r="G783" s="98"/>
      <c r="H783" s="98"/>
      <c r="I783" s="98"/>
      <c r="J783" s="98"/>
      <c r="K783" s="98"/>
      <c r="L783" s="98"/>
      <c r="M783" s="98"/>
      <c r="N783" s="98"/>
      <c r="O783" s="98"/>
      <c r="P783" s="98"/>
      <c r="Q783" s="98"/>
      <c r="R783" s="98"/>
      <c r="S783" s="98"/>
      <c r="T783" s="98"/>
      <c r="U783" s="98"/>
      <c r="V783" s="98"/>
      <c r="W783" s="98"/>
      <c r="X783" s="98"/>
      <c r="Y783" s="98"/>
      <c r="Z783" s="98"/>
      <c r="AA783" s="98"/>
      <c r="AB783" s="98"/>
      <c r="AC783" s="98"/>
    </row>
    <row r="784">
      <c r="A784" s="98"/>
      <c r="B784" s="98"/>
      <c r="C784" s="98"/>
      <c r="D784" s="98"/>
      <c r="E784" s="121"/>
      <c r="F784" s="98"/>
      <c r="G784" s="98"/>
      <c r="H784" s="98"/>
      <c r="I784" s="98"/>
      <c r="J784" s="98"/>
      <c r="K784" s="98"/>
      <c r="L784" s="98"/>
      <c r="M784" s="98"/>
      <c r="N784" s="98"/>
      <c r="O784" s="98"/>
      <c r="P784" s="98"/>
      <c r="Q784" s="98"/>
      <c r="R784" s="98"/>
      <c r="S784" s="98"/>
      <c r="T784" s="98"/>
      <c r="U784" s="98"/>
      <c r="V784" s="98"/>
      <c r="W784" s="98"/>
      <c r="X784" s="98"/>
      <c r="Y784" s="98"/>
      <c r="Z784" s="98"/>
      <c r="AA784" s="98"/>
      <c r="AB784" s="98"/>
      <c r="AC784" s="98"/>
    </row>
    <row r="785">
      <c r="A785" s="98"/>
      <c r="B785" s="98"/>
      <c r="C785" s="98"/>
      <c r="D785" s="98"/>
      <c r="E785" s="121"/>
      <c r="F785" s="98"/>
      <c r="G785" s="98"/>
      <c r="H785" s="98"/>
      <c r="I785" s="98"/>
      <c r="J785" s="98"/>
      <c r="K785" s="98"/>
      <c r="L785" s="98"/>
      <c r="M785" s="98"/>
      <c r="N785" s="98"/>
      <c r="O785" s="98"/>
      <c r="P785" s="98"/>
      <c r="Q785" s="98"/>
      <c r="R785" s="98"/>
      <c r="S785" s="98"/>
      <c r="T785" s="98"/>
      <c r="U785" s="98"/>
      <c r="V785" s="98"/>
      <c r="W785" s="98"/>
      <c r="X785" s="98"/>
      <c r="Y785" s="98"/>
      <c r="Z785" s="98"/>
      <c r="AA785" s="98"/>
      <c r="AB785" s="98"/>
      <c r="AC785" s="98"/>
    </row>
    <row r="786">
      <c r="A786" s="98"/>
      <c r="B786" s="98"/>
      <c r="C786" s="98"/>
      <c r="D786" s="98"/>
      <c r="E786" s="121"/>
      <c r="F786" s="98"/>
      <c r="G786" s="98"/>
      <c r="H786" s="98"/>
      <c r="I786" s="98"/>
      <c r="J786" s="98"/>
      <c r="K786" s="98"/>
      <c r="L786" s="98"/>
      <c r="M786" s="98"/>
      <c r="N786" s="98"/>
      <c r="O786" s="98"/>
      <c r="P786" s="98"/>
      <c r="Q786" s="98"/>
      <c r="R786" s="98"/>
      <c r="S786" s="98"/>
      <c r="T786" s="98"/>
      <c r="U786" s="98"/>
      <c r="V786" s="98"/>
      <c r="W786" s="98"/>
      <c r="X786" s="98"/>
      <c r="Y786" s="98"/>
      <c r="Z786" s="98"/>
      <c r="AA786" s="98"/>
      <c r="AB786" s="98"/>
      <c r="AC786" s="98"/>
    </row>
    <row r="787">
      <c r="A787" s="98"/>
      <c r="B787" s="98"/>
      <c r="C787" s="98"/>
      <c r="D787" s="98"/>
      <c r="E787" s="121"/>
      <c r="F787" s="98"/>
      <c r="G787" s="98"/>
      <c r="H787" s="98"/>
      <c r="I787" s="98"/>
      <c r="J787" s="98"/>
      <c r="K787" s="98"/>
      <c r="L787" s="98"/>
      <c r="M787" s="98"/>
      <c r="N787" s="98"/>
      <c r="O787" s="98"/>
      <c r="P787" s="98"/>
      <c r="Q787" s="98"/>
      <c r="R787" s="98"/>
      <c r="S787" s="98"/>
      <c r="T787" s="98"/>
      <c r="U787" s="98"/>
      <c r="V787" s="98"/>
      <c r="W787" s="98"/>
      <c r="X787" s="98"/>
      <c r="Y787" s="98"/>
      <c r="Z787" s="98"/>
      <c r="AA787" s="98"/>
      <c r="AB787" s="98"/>
      <c r="AC787" s="98"/>
    </row>
    <row r="788">
      <c r="A788" s="98"/>
      <c r="B788" s="98"/>
      <c r="C788" s="98"/>
      <c r="D788" s="98"/>
      <c r="E788" s="121"/>
      <c r="F788" s="98"/>
      <c r="G788" s="98"/>
      <c r="H788" s="98"/>
      <c r="I788" s="98"/>
      <c r="J788" s="98"/>
      <c r="K788" s="98"/>
      <c r="L788" s="98"/>
      <c r="M788" s="98"/>
      <c r="N788" s="98"/>
      <c r="O788" s="98"/>
      <c r="P788" s="98"/>
      <c r="Q788" s="98"/>
      <c r="R788" s="98"/>
      <c r="S788" s="98"/>
      <c r="T788" s="98"/>
      <c r="U788" s="98"/>
      <c r="V788" s="98"/>
      <c r="W788" s="98"/>
      <c r="X788" s="98"/>
      <c r="Y788" s="98"/>
      <c r="Z788" s="98"/>
      <c r="AA788" s="98"/>
      <c r="AB788" s="98"/>
      <c r="AC788" s="98"/>
    </row>
    <row r="789">
      <c r="A789" s="98"/>
      <c r="B789" s="98"/>
      <c r="C789" s="98"/>
      <c r="D789" s="98"/>
      <c r="E789" s="121"/>
      <c r="F789" s="98"/>
      <c r="G789" s="98"/>
      <c r="H789" s="98"/>
      <c r="I789" s="98"/>
      <c r="J789" s="98"/>
      <c r="K789" s="98"/>
      <c r="L789" s="98"/>
      <c r="M789" s="98"/>
      <c r="N789" s="98"/>
      <c r="O789" s="98"/>
      <c r="P789" s="98"/>
      <c r="Q789" s="98"/>
      <c r="R789" s="98"/>
      <c r="S789" s="98"/>
      <c r="T789" s="98"/>
      <c r="U789" s="98"/>
      <c r="V789" s="98"/>
      <c r="W789" s="98"/>
      <c r="X789" s="98"/>
      <c r="Y789" s="98"/>
      <c r="Z789" s="98"/>
      <c r="AA789" s="98"/>
      <c r="AB789" s="98"/>
      <c r="AC789" s="98"/>
    </row>
    <row r="790">
      <c r="A790" s="98"/>
      <c r="B790" s="98"/>
      <c r="C790" s="98"/>
      <c r="D790" s="98"/>
      <c r="E790" s="121"/>
      <c r="F790" s="98"/>
      <c r="G790" s="98"/>
      <c r="H790" s="98"/>
      <c r="I790" s="98"/>
      <c r="J790" s="98"/>
      <c r="K790" s="98"/>
      <c r="L790" s="98"/>
      <c r="M790" s="98"/>
      <c r="N790" s="98"/>
      <c r="O790" s="98"/>
      <c r="P790" s="98"/>
      <c r="Q790" s="98"/>
      <c r="R790" s="98"/>
      <c r="S790" s="98"/>
      <c r="T790" s="98"/>
      <c r="U790" s="98"/>
      <c r="V790" s="98"/>
      <c r="W790" s="98"/>
      <c r="X790" s="98"/>
      <c r="Y790" s="98"/>
      <c r="Z790" s="98"/>
      <c r="AA790" s="98"/>
      <c r="AB790" s="98"/>
      <c r="AC790" s="98"/>
    </row>
    <row r="791">
      <c r="A791" s="98"/>
      <c r="B791" s="98"/>
      <c r="C791" s="98"/>
      <c r="D791" s="98"/>
      <c r="E791" s="121"/>
      <c r="F791" s="98"/>
      <c r="G791" s="98"/>
      <c r="H791" s="98"/>
      <c r="I791" s="98"/>
      <c r="J791" s="98"/>
      <c r="K791" s="98"/>
      <c r="L791" s="98"/>
      <c r="M791" s="98"/>
      <c r="N791" s="98"/>
      <c r="O791" s="98"/>
      <c r="P791" s="98"/>
      <c r="Q791" s="98"/>
      <c r="R791" s="98"/>
      <c r="S791" s="98"/>
      <c r="T791" s="98"/>
      <c r="U791" s="98"/>
      <c r="V791" s="98"/>
      <c r="W791" s="98"/>
      <c r="X791" s="98"/>
      <c r="Y791" s="98"/>
      <c r="Z791" s="98"/>
      <c r="AA791" s="98"/>
      <c r="AB791" s="98"/>
      <c r="AC791" s="98"/>
    </row>
    <row r="792">
      <c r="A792" s="98"/>
      <c r="B792" s="98"/>
      <c r="C792" s="98"/>
      <c r="D792" s="98"/>
      <c r="E792" s="121"/>
      <c r="F792" s="98"/>
      <c r="G792" s="98"/>
      <c r="H792" s="98"/>
      <c r="I792" s="98"/>
      <c r="J792" s="98"/>
      <c r="K792" s="98"/>
      <c r="L792" s="98"/>
      <c r="M792" s="98"/>
      <c r="N792" s="98"/>
      <c r="O792" s="98"/>
      <c r="P792" s="98"/>
      <c r="Q792" s="98"/>
      <c r="R792" s="98"/>
      <c r="S792" s="98"/>
      <c r="T792" s="98"/>
      <c r="U792" s="98"/>
      <c r="V792" s="98"/>
      <c r="W792" s="98"/>
      <c r="X792" s="98"/>
      <c r="Y792" s="98"/>
      <c r="Z792" s="98"/>
      <c r="AA792" s="98"/>
      <c r="AB792" s="98"/>
      <c r="AC792" s="98"/>
    </row>
    <row r="793">
      <c r="A793" s="98"/>
      <c r="B793" s="98"/>
      <c r="C793" s="98"/>
      <c r="D793" s="98"/>
      <c r="E793" s="121"/>
      <c r="F793" s="98"/>
      <c r="G793" s="98"/>
      <c r="H793" s="98"/>
      <c r="I793" s="98"/>
      <c r="J793" s="98"/>
      <c r="K793" s="98"/>
      <c r="L793" s="98"/>
      <c r="M793" s="98"/>
      <c r="N793" s="98"/>
      <c r="O793" s="98"/>
      <c r="P793" s="98"/>
      <c r="Q793" s="98"/>
      <c r="R793" s="98"/>
      <c r="S793" s="98"/>
      <c r="T793" s="98"/>
      <c r="U793" s="98"/>
      <c r="V793" s="98"/>
      <c r="W793" s="98"/>
      <c r="X793" s="98"/>
      <c r="Y793" s="98"/>
      <c r="Z793" s="98"/>
      <c r="AA793" s="98"/>
      <c r="AB793" s="98"/>
      <c r="AC793" s="98"/>
    </row>
    <row r="794">
      <c r="A794" s="98"/>
      <c r="B794" s="98"/>
      <c r="C794" s="98"/>
      <c r="D794" s="98"/>
      <c r="E794" s="121"/>
      <c r="F794" s="98"/>
      <c r="G794" s="98"/>
      <c r="H794" s="98"/>
      <c r="I794" s="98"/>
      <c r="J794" s="98"/>
      <c r="K794" s="98"/>
      <c r="L794" s="98"/>
      <c r="M794" s="98"/>
      <c r="N794" s="98"/>
      <c r="O794" s="98"/>
      <c r="P794" s="98"/>
      <c r="Q794" s="98"/>
      <c r="R794" s="98"/>
      <c r="S794" s="98"/>
      <c r="T794" s="98"/>
      <c r="U794" s="98"/>
      <c r="V794" s="98"/>
      <c r="W794" s="98"/>
      <c r="X794" s="98"/>
      <c r="Y794" s="98"/>
      <c r="Z794" s="98"/>
      <c r="AA794" s="98"/>
      <c r="AB794" s="98"/>
      <c r="AC794" s="98"/>
    </row>
    <row r="795">
      <c r="A795" s="98"/>
      <c r="B795" s="98"/>
      <c r="C795" s="98"/>
      <c r="D795" s="98"/>
      <c r="E795" s="121"/>
      <c r="F795" s="98"/>
      <c r="G795" s="98"/>
      <c r="H795" s="98"/>
      <c r="I795" s="98"/>
      <c r="J795" s="98"/>
      <c r="K795" s="98"/>
      <c r="L795" s="98"/>
      <c r="M795" s="98"/>
      <c r="N795" s="98"/>
      <c r="O795" s="98"/>
      <c r="P795" s="98"/>
      <c r="Q795" s="98"/>
      <c r="R795" s="98"/>
      <c r="S795" s="98"/>
      <c r="T795" s="98"/>
      <c r="U795" s="98"/>
      <c r="V795" s="98"/>
      <c r="W795" s="98"/>
      <c r="X795" s="98"/>
      <c r="Y795" s="98"/>
      <c r="Z795" s="98"/>
      <c r="AA795" s="98"/>
      <c r="AB795" s="98"/>
      <c r="AC795" s="98"/>
    </row>
    <row r="796">
      <c r="A796" s="98"/>
      <c r="B796" s="98"/>
      <c r="C796" s="98"/>
      <c r="D796" s="98"/>
      <c r="E796" s="121"/>
      <c r="F796" s="98"/>
      <c r="G796" s="98"/>
      <c r="H796" s="98"/>
      <c r="I796" s="98"/>
      <c r="J796" s="98"/>
      <c r="K796" s="98"/>
      <c r="L796" s="98"/>
      <c r="M796" s="98"/>
      <c r="N796" s="98"/>
      <c r="O796" s="98"/>
      <c r="P796" s="98"/>
      <c r="Q796" s="98"/>
      <c r="R796" s="98"/>
      <c r="S796" s="98"/>
      <c r="T796" s="98"/>
      <c r="U796" s="98"/>
      <c r="V796" s="98"/>
      <c r="W796" s="98"/>
      <c r="X796" s="98"/>
      <c r="Y796" s="98"/>
      <c r="Z796" s="98"/>
      <c r="AA796" s="98"/>
      <c r="AB796" s="98"/>
      <c r="AC796" s="98"/>
    </row>
    <row r="797">
      <c r="A797" s="98"/>
      <c r="B797" s="98"/>
      <c r="C797" s="98"/>
      <c r="D797" s="98"/>
      <c r="E797" s="121"/>
      <c r="F797" s="98"/>
      <c r="G797" s="98"/>
      <c r="H797" s="98"/>
      <c r="I797" s="98"/>
      <c r="J797" s="98"/>
      <c r="K797" s="98"/>
      <c r="L797" s="98"/>
      <c r="M797" s="98"/>
      <c r="N797" s="98"/>
      <c r="O797" s="98"/>
      <c r="P797" s="98"/>
      <c r="Q797" s="98"/>
      <c r="R797" s="98"/>
      <c r="S797" s="98"/>
      <c r="T797" s="98"/>
      <c r="U797" s="98"/>
      <c r="V797" s="98"/>
      <c r="W797" s="98"/>
      <c r="X797" s="98"/>
      <c r="Y797" s="98"/>
      <c r="Z797" s="98"/>
      <c r="AA797" s="98"/>
      <c r="AB797" s="98"/>
      <c r="AC797" s="98"/>
    </row>
    <row r="798">
      <c r="A798" s="98"/>
      <c r="B798" s="98"/>
      <c r="C798" s="98"/>
      <c r="D798" s="98"/>
      <c r="E798" s="121"/>
      <c r="F798" s="98"/>
      <c r="G798" s="98"/>
      <c r="H798" s="98"/>
      <c r="I798" s="98"/>
      <c r="J798" s="98"/>
      <c r="K798" s="98"/>
      <c r="L798" s="98"/>
      <c r="M798" s="98"/>
      <c r="N798" s="98"/>
      <c r="O798" s="98"/>
      <c r="P798" s="98"/>
      <c r="Q798" s="98"/>
      <c r="R798" s="98"/>
      <c r="S798" s="98"/>
      <c r="T798" s="98"/>
      <c r="U798" s="98"/>
      <c r="V798" s="98"/>
      <c r="W798" s="98"/>
      <c r="X798" s="98"/>
      <c r="Y798" s="98"/>
      <c r="Z798" s="98"/>
      <c r="AA798" s="98"/>
      <c r="AB798" s="98"/>
      <c r="AC798" s="98"/>
    </row>
    <row r="799">
      <c r="A799" s="98"/>
      <c r="B799" s="98"/>
      <c r="C799" s="98"/>
      <c r="D799" s="98"/>
      <c r="E799" s="121"/>
      <c r="F799" s="98"/>
      <c r="G799" s="98"/>
      <c r="H799" s="98"/>
      <c r="I799" s="98"/>
      <c r="J799" s="98"/>
      <c r="K799" s="98"/>
      <c r="L799" s="98"/>
      <c r="M799" s="98"/>
      <c r="N799" s="98"/>
      <c r="O799" s="98"/>
      <c r="P799" s="98"/>
      <c r="Q799" s="98"/>
      <c r="R799" s="98"/>
      <c r="S799" s="98"/>
      <c r="T799" s="98"/>
      <c r="U799" s="98"/>
      <c r="V799" s="98"/>
      <c r="W799" s="98"/>
      <c r="X799" s="98"/>
      <c r="Y799" s="98"/>
      <c r="Z799" s="98"/>
      <c r="AA799" s="98"/>
      <c r="AB799" s="98"/>
      <c r="AC799" s="98"/>
    </row>
    <row r="800">
      <c r="A800" s="98"/>
      <c r="B800" s="98"/>
      <c r="C800" s="98"/>
      <c r="D800" s="98"/>
      <c r="E800" s="121"/>
      <c r="F800" s="98"/>
      <c r="G800" s="98"/>
      <c r="H800" s="98"/>
      <c r="I800" s="98"/>
      <c r="J800" s="98"/>
      <c r="K800" s="98"/>
      <c r="L800" s="98"/>
      <c r="M800" s="98"/>
      <c r="N800" s="98"/>
      <c r="O800" s="98"/>
      <c r="P800" s="98"/>
      <c r="Q800" s="98"/>
      <c r="R800" s="98"/>
      <c r="S800" s="98"/>
      <c r="T800" s="98"/>
      <c r="U800" s="98"/>
      <c r="V800" s="98"/>
      <c r="W800" s="98"/>
      <c r="X800" s="98"/>
      <c r="Y800" s="98"/>
      <c r="Z800" s="98"/>
      <c r="AA800" s="98"/>
      <c r="AB800" s="98"/>
      <c r="AC800" s="98"/>
    </row>
    <row r="801">
      <c r="A801" s="98"/>
      <c r="B801" s="98"/>
      <c r="C801" s="98"/>
      <c r="D801" s="98"/>
      <c r="E801" s="121"/>
      <c r="F801" s="98"/>
      <c r="G801" s="98"/>
      <c r="H801" s="98"/>
      <c r="I801" s="98"/>
      <c r="J801" s="98"/>
      <c r="K801" s="98"/>
      <c r="L801" s="98"/>
      <c r="M801" s="98"/>
      <c r="N801" s="98"/>
      <c r="O801" s="98"/>
      <c r="P801" s="98"/>
      <c r="Q801" s="98"/>
      <c r="R801" s="98"/>
      <c r="S801" s="98"/>
      <c r="T801" s="98"/>
      <c r="U801" s="98"/>
      <c r="V801" s="98"/>
      <c r="W801" s="98"/>
      <c r="X801" s="98"/>
      <c r="Y801" s="98"/>
      <c r="Z801" s="98"/>
      <c r="AA801" s="98"/>
      <c r="AB801" s="98"/>
      <c r="AC801" s="98"/>
    </row>
    <row r="802">
      <c r="A802" s="98"/>
      <c r="B802" s="98"/>
      <c r="C802" s="98"/>
      <c r="D802" s="98"/>
      <c r="E802" s="121"/>
      <c r="F802" s="98"/>
      <c r="G802" s="98"/>
      <c r="H802" s="98"/>
      <c r="I802" s="98"/>
      <c r="J802" s="98"/>
      <c r="K802" s="98"/>
      <c r="L802" s="98"/>
      <c r="M802" s="98"/>
      <c r="N802" s="98"/>
      <c r="O802" s="98"/>
      <c r="P802" s="98"/>
      <c r="Q802" s="98"/>
      <c r="R802" s="98"/>
      <c r="S802" s="98"/>
      <c r="T802" s="98"/>
      <c r="U802" s="98"/>
      <c r="V802" s="98"/>
      <c r="W802" s="98"/>
      <c r="X802" s="98"/>
      <c r="Y802" s="98"/>
      <c r="Z802" s="98"/>
      <c r="AA802" s="98"/>
      <c r="AB802" s="98"/>
      <c r="AC802" s="98"/>
    </row>
    <row r="803">
      <c r="A803" s="98"/>
      <c r="B803" s="98"/>
      <c r="C803" s="98"/>
      <c r="D803" s="98"/>
      <c r="E803" s="121"/>
      <c r="F803" s="98"/>
      <c r="G803" s="98"/>
      <c r="H803" s="98"/>
      <c r="I803" s="98"/>
      <c r="J803" s="98"/>
      <c r="K803" s="98"/>
      <c r="L803" s="98"/>
      <c r="M803" s="98"/>
      <c r="N803" s="98"/>
      <c r="O803" s="98"/>
      <c r="P803" s="98"/>
      <c r="Q803" s="98"/>
      <c r="R803" s="98"/>
      <c r="S803" s="98"/>
      <c r="T803" s="98"/>
      <c r="U803" s="98"/>
      <c r="V803" s="98"/>
      <c r="W803" s="98"/>
      <c r="X803" s="98"/>
      <c r="Y803" s="98"/>
      <c r="Z803" s="98"/>
      <c r="AA803" s="98"/>
      <c r="AB803" s="98"/>
      <c r="AC803" s="98"/>
    </row>
    <row r="804">
      <c r="A804" s="98"/>
      <c r="B804" s="98"/>
      <c r="C804" s="98"/>
      <c r="D804" s="98"/>
      <c r="E804" s="121"/>
      <c r="F804" s="98"/>
      <c r="G804" s="98"/>
      <c r="H804" s="98"/>
      <c r="I804" s="98"/>
      <c r="J804" s="98"/>
      <c r="K804" s="98"/>
      <c r="L804" s="98"/>
      <c r="M804" s="98"/>
      <c r="N804" s="98"/>
      <c r="O804" s="98"/>
      <c r="P804" s="98"/>
      <c r="Q804" s="98"/>
      <c r="R804" s="98"/>
      <c r="S804" s="98"/>
      <c r="T804" s="98"/>
      <c r="U804" s="98"/>
      <c r="V804" s="98"/>
      <c r="W804" s="98"/>
      <c r="X804" s="98"/>
      <c r="Y804" s="98"/>
      <c r="Z804" s="98"/>
      <c r="AA804" s="98"/>
      <c r="AB804" s="98"/>
      <c r="AC804" s="98"/>
    </row>
    <row r="805">
      <c r="A805" s="98"/>
      <c r="B805" s="98"/>
      <c r="C805" s="98"/>
      <c r="D805" s="98"/>
      <c r="E805" s="121"/>
      <c r="F805" s="98"/>
      <c r="G805" s="98"/>
      <c r="H805" s="98"/>
      <c r="I805" s="98"/>
      <c r="J805" s="98"/>
      <c r="K805" s="98"/>
      <c r="L805" s="98"/>
      <c r="M805" s="98"/>
      <c r="N805" s="98"/>
      <c r="O805" s="98"/>
      <c r="P805" s="98"/>
      <c r="Q805" s="98"/>
      <c r="R805" s="98"/>
      <c r="S805" s="98"/>
      <c r="T805" s="98"/>
      <c r="U805" s="98"/>
      <c r="V805" s="98"/>
      <c r="W805" s="98"/>
      <c r="X805" s="98"/>
      <c r="Y805" s="98"/>
      <c r="Z805" s="98"/>
      <c r="AA805" s="98"/>
      <c r="AB805" s="98"/>
      <c r="AC805" s="98"/>
    </row>
    <row r="806">
      <c r="A806" s="98"/>
      <c r="B806" s="98"/>
      <c r="C806" s="98"/>
      <c r="D806" s="98"/>
      <c r="E806" s="121"/>
      <c r="F806" s="98"/>
      <c r="G806" s="98"/>
      <c r="H806" s="98"/>
      <c r="I806" s="98"/>
      <c r="J806" s="98"/>
      <c r="K806" s="98"/>
      <c r="L806" s="98"/>
      <c r="M806" s="98"/>
      <c r="N806" s="98"/>
      <c r="O806" s="98"/>
      <c r="P806" s="98"/>
      <c r="Q806" s="98"/>
      <c r="R806" s="98"/>
      <c r="S806" s="98"/>
      <c r="T806" s="98"/>
      <c r="U806" s="98"/>
      <c r="V806" s="98"/>
      <c r="W806" s="98"/>
      <c r="X806" s="98"/>
      <c r="Y806" s="98"/>
      <c r="Z806" s="98"/>
      <c r="AA806" s="98"/>
      <c r="AB806" s="98"/>
      <c r="AC806" s="98"/>
    </row>
    <row r="807">
      <c r="A807" s="98"/>
      <c r="B807" s="98"/>
      <c r="C807" s="98"/>
      <c r="D807" s="98"/>
      <c r="E807" s="121"/>
      <c r="F807" s="98"/>
      <c r="G807" s="98"/>
      <c r="H807" s="98"/>
      <c r="I807" s="98"/>
      <c r="J807" s="98"/>
      <c r="K807" s="98"/>
      <c r="L807" s="98"/>
      <c r="M807" s="98"/>
      <c r="N807" s="98"/>
      <c r="O807" s="98"/>
      <c r="P807" s="98"/>
      <c r="Q807" s="98"/>
      <c r="R807" s="98"/>
      <c r="S807" s="98"/>
      <c r="T807" s="98"/>
      <c r="U807" s="98"/>
      <c r="V807" s="98"/>
      <c r="W807" s="98"/>
      <c r="X807" s="98"/>
      <c r="Y807" s="98"/>
      <c r="Z807" s="98"/>
      <c r="AA807" s="98"/>
      <c r="AB807" s="98"/>
      <c r="AC807" s="98"/>
    </row>
    <row r="808">
      <c r="A808" s="98"/>
      <c r="B808" s="98"/>
      <c r="C808" s="98"/>
      <c r="D808" s="98"/>
      <c r="E808" s="121"/>
      <c r="F808" s="98"/>
      <c r="G808" s="98"/>
      <c r="H808" s="98"/>
      <c r="I808" s="98"/>
      <c r="J808" s="98"/>
      <c r="K808" s="98"/>
      <c r="L808" s="98"/>
      <c r="M808" s="98"/>
      <c r="N808" s="98"/>
      <c r="O808" s="98"/>
      <c r="P808" s="98"/>
      <c r="Q808" s="98"/>
      <c r="R808" s="98"/>
      <c r="S808" s="98"/>
      <c r="T808" s="98"/>
      <c r="U808" s="98"/>
      <c r="V808" s="98"/>
      <c r="W808" s="98"/>
      <c r="X808" s="98"/>
      <c r="Y808" s="98"/>
      <c r="Z808" s="98"/>
      <c r="AA808" s="98"/>
      <c r="AB808" s="98"/>
      <c r="AC808" s="98"/>
    </row>
    <row r="809">
      <c r="A809" s="98"/>
      <c r="B809" s="98"/>
      <c r="C809" s="98"/>
      <c r="D809" s="98"/>
      <c r="E809" s="121"/>
      <c r="F809" s="98"/>
      <c r="G809" s="98"/>
      <c r="H809" s="98"/>
      <c r="I809" s="98"/>
      <c r="J809" s="98"/>
      <c r="K809" s="98"/>
      <c r="L809" s="98"/>
      <c r="M809" s="98"/>
      <c r="N809" s="98"/>
      <c r="O809" s="98"/>
      <c r="P809" s="98"/>
      <c r="Q809" s="98"/>
      <c r="R809" s="98"/>
      <c r="S809" s="98"/>
      <c r="T809" s="98"/>
      <c r="U809" s="98"/>
      <c r="V809" s="98"/>
      <c r="W809" s="98"/>
      <c r="X809" s="98"/>
      <c r="Y809" s="98"/>
      <c r="Z809" s="98"/>
      <c r="AA809" s="98"/>
      <c r="AB809" s="98"/>
      <c r="AC809" s="98"/>
    </row>
    <row r="810">
      <c r="A810" s="98"/>
      <c r="B810" s="98"/>
      <c r="C810" s="98"/>
      <c r="D810" s="98"/>
      <c r="E810" s="121"/>
      <c r="F810" s="98"/>
      <c r="G810" s="98"/>
      <c r="H810" s="98"/>
      <c r="I810" s="98"/>
      <c r="J810" s="98"/>
      <c r="K810" s="98"/>
      <c r="L810" s="98"/>
      <c r="M810" s="98"/>
      <c r="N810" s="98"/>
      <c r="O810" s="98"/>
      <c r="P810" s="98"/>
      <c r="Q810" s="98"/>
      <c r="R810" s="98"/>
      <c r="S810" s="98"/>
      <c r="T810" s="98"/>
      <c r="U810" s="98"/>
      <c r="V810" s="98"/>
      <c r="W810" s="98"/>
      <c r="X810" s="98"/>
      <c r="Y810" s="98"/>
      <c r="Z810" s="98"/>
      <c r="AA810" s="98"/>
      <c r="AB810" s="98"/>
      <c r="AC810" s="98"/>
    </row>
    <row r="811">
      <c r="A811" s="98"/>
      <c r="B811" s="98"/>
      <c r="C811" s="98"/>
      <c r="D811" s="98"/>
      <c r="E811" s="121"/>
      <c r="F811" s="98"/>
      <c r="G811" s="98"/>
      <c r="H811" s="98"/>
      <c r="I811" s="98"/>
      <c r="J811" s="98"/>
      <c r="K811" s="98"/>
      <c r="L811" s="98"/>
      <c r="M811" s="98"/>
      <c r="N811" s="98"/>
      <c r="O811" s="98"/>
      <c r="P811" s="98"/>
      <c r="Q811" s="98"/>
      <c r="R811" s="98"/>
      <c r="S811" s="98"/>
      <c r="T811" s="98"/>
      <c r="U811" s="98"/>
      <c r="V811" s="98"/>
      <c r="W811" s="98"/>
      <c r="X811" s="98"/>
      <c r="Y811" s="98"/>
      <c r="Z811" s="98"/>
      <c r="AA811" s="98"/>
      <c r="AB811" s="98"/>
      <c r="AC811" s="98"/>
    </row>
    <row r="812">
      <c r="A812" s="98"/>
      <c r="B812" s="98"/>
      <c r="C812" s="98"/>
      <c r="D812" s="98"/>
      <c r="E812" s="121"/>
      <c r="F812" s="98"/>
      <c r="G812" s="98"/>
      <c r="H812" s="98"/>
      <c r="I812" s="98"/>
      <c r="J812" s="98"/>
      <c r="K812" s="98"/>
      <c r="L812" s="98"/>
      <c r="M812" s="98"/>
      <c r="N812" s="98"/>
      <c r="O812" s="98"/>
      <c r="P812" s="98"/>
      <c r="Q812" s="98"/>
      <c r="R812" s="98"/>
      <c r="S812" s="98"/>
      <c r="T812" s="98"/>
      <c r="U812" s="98"/>
      <c r="V812" s="98"/>
      <c r="W812" s="98"/>
      <c r="X812" s="98"/>
      <c r="Y812" s="98"/>
      <c r="Z812" s="98"/>
      <c r="AA812" s="98"/>
      <c r="AB812" s="98"/>
      <c r="AC812" s="98"/>
    </row>
    <row r="813">
      <c r="A813" s="98"/>
      <c r="B813" s="98"/>
      <c r="C813" s="98"/>
      <c r="D813" s="98"/>
      <c r="E813" s="121"/>
      <c r="F813" s="98"/>
      <c r="G813" s="98"/>
      <c r="H813" s="98"/>
      <c r="I813" s="98"/>
      <c r="J813" s="98"/>
      <c r="K813" s="98"/>
      <c r="L813" s="98"/>
      <c r="M813" s="98"/>
      <c r="N813" s="98"/>
      <c r="O813" s="98"/>
      <c r="P813" s="98"/>
      <c r="Q813" s="98"/>
      <c r="R813" s="98"/>
      <c r="S813" s="98"/>
      <c r="T813" s="98"/>
      <c r="U813" s="98"/>
      <c r="V813" s="98"/>
      <c r="W813" s="98"/>
      <c r="X813" s="98"/>
      <c r="Y813" s="98"/>
      <c r="Z813" s="98"/>
      <c r="AA813" s="98"/>
      <c r="AB813" s="98"/>
      <c r="AC813" s="98"/>
    </row>
    <row r="814">
      <c r="A814" s="98"/>
      <c r="B814" s="98"/>
      <c r="C814" s="98"/>
      <c r="D814" s="98"/>
      <c r="E814" s="121"/>
      <c r="F814" s="98"/>
      <c r="G814" s="98"/>
      <c r="H814" s="98"/>
      <c r="I814" s="98"/>
      <c r="J814" s="98"/>
      <c r="K814" s="98"/>
      <c r="L814" s="98"/>
      <c r="M814" s="98"/>
      <c r="N814" s="98"/>
      <c r="O814" s="98"/>
      <c r="P814" s="98"/>
      <c r="Q814" s="98"/>
      <c r="R814" s="98"/>
      <c r="S814" s="98"/>
      <c r="T814" s="98"/>
      <c r="U814" s="98"/>
      <c r="V814" s="98"/>
      <c r="W814" s="98"/>
      <c r="X814" s="98"/>
      <c r="Y814" s="98"/>
      <c r="Z814" s="98"/>
      <c r="AA814" s="98"/>
      <c r="AB814" s="98"/>
      <c r="AC814" s="98"/>
    </row>
    <row r="815">
      <c r="A815" s="98"/>
      <c r="B815" s="98"/>
      <c r="C815" s="98"/>
      <c r="D815" s="98"/>
      <c r="E815" s="121"/>
      <c r="F815" s="98"/>
      <c r="G815" s="98"/>
      <c r="H815" s="98"/>
      <c r="I815" s="98"/>
      <c r="J815" s="98"/>
      <c r="K815" s="98"/>
      <c r="L815" s="98"/>
      <c r="M815" s="98"/>
      <c r="N815" s="98"/>
      <c r="O815" s="98"/>
      <c r="P815" s="98"/>
      <c r="Q815" s="98"/>
      <c r="R815" s="98"/>
      <c r="S815" s="98"/>
      <c r="T815" s="98"/>
      <c r="U815" s="98"/>
      <c r="V815" s="98"/>
      <c r="W815" s="98"/>
      <c r="X815" s="98"/>
      <c r="Y815" s="98"/>
      <c r="Z815" s="98"/>
      <c r="AA815" s="98"/>
      <c r="AB815" s="98"/>
      <c r="AC815" s="98"/>
    </row>
    <row r="816">
      <c r="A816" s="98"/>
      <c r="B816" s="98"/>
      <c r="C816" s="98"/>
      <c r="D816" s="98"/>
      <c r="E816" s="121"/>
      <c r="F816" s="98"/>
      <c r="G816" s="98"/>
      <c r="H816" s="98"/>
      <c r="I816" s="98"/>
      <c r="J816" s="98"/>
      <c r="K816" s="98"/>
      <c r="L816" s="98"/>
      <c r="M816" s="98"/>
      <c r="N816" s="98"/>
      <c r="O816" s="98"/>
      <c r="P816" s="98"/>
      <c r="Q816" s="98"/>
      <c r="R816" s="98"/>
      <c r="S816" s="98"/>
      <c r="T816" s="98"/>
      <c r="U816" s="98"/>
      <c r="V816" s="98"/>
      <c r="W816" s="98"/>
      <c r="X816" s="98"/>
      <c r="Y816" s="98"/>
      <c r="Z816" s="98"/>
      <c r="AA816" s="98"/>
      <c r="AB816" s="98"/>
      <c r="AC816" s="98"/>
    </row>
    <row r="817">
      <c r="A817" s="98"/>
      <c r="B817" s="98"/>
      <c r="C817" s="98"/>
      <c r="D817" s="98"/>
      <c r="E817" s="121"/>
      <c r="F817" s="98"/>
      <c r="G817" s="98"/>
      <c r="H817" s="98"/>
      <c r="I817" s="98"/>
      <c r="J817" s="98"/>
      <c r="K817" s="98"/>
      <c r="L817" s="98"/>
      <c r="M817" s="98"/>
      <c r="N817" s="98"/>
      <c r="O817" s="98"/>
      <c r="P817" s="98"/>
      <c r="Q817" s="98"/>
      <c r="R817" s="98"/>
      <c r="S817" s="98"/>
      <c r="T817" s="98"/>
      <c r="U817" s="98"/>
      <c r="V817" s="98"/>
      <c r="W817" s="98"/>
      <c r="X817" s="98"/>
      <c r="Y817" s="98"/>
      <c r="Z817" s="98"/>
      <c r="AA817" s="98"/>
      <c r="AB817" s="98"/>
      <c r="AC817" s="98"/>
    </row>
    <row r="818">
      <c r="A818" s="98"/>
      <c r="B818" s="98"/>
      <c r="C818" s="98"/>
      <c r="D818" s="98"/>
      <c r="E818" s="121"/>
      <c r="F818" s="98"/>
      <c r="G818" s="98"/>
      <c r="H818" s="98"/>
      <c r="I818" s="98"/>
      <c r="J818" s="98"/>
      <c r="K818" s="98"/>
      <c r="L818" s="98"/>
      <c r="M818" s="98"/>
      <c r="N818" s="98"/>
      <c r="O818" s="98"/>
      <c r="P818" s="98"/>
      <c r="Q818" s="98"/>
      <c r="R818" s="98"/>
      <c r="S818" s="98"/>
      <c r="T818" s="98"/>
      <c r="U818" s="98"/>
      <c r="V818" s="98"/>
      <c r="W818" s="98"/>
      <c r="X818" s="98"/>
      <c r="Y818" s="98"/>
      <c r="Z818" s="98"/>
      <c r="AA818" s="98"/>
      <c r="AB818" s="98"/>
      <c r="AC818" s="98"/>
    </row>
    <row r="819">
      <c r="A819" s="98"/>
      <c r="B819" s="98"/>
      <c r="C819" s="98"/>
      <c r="D819" s="98"/>
      <c r="E819" s="121"/>
      <c r="F819" s="98"/>
      <c r="G819" s="98"/>
      <c r="H819" s="98"/>
      <c r="I819" s="98"/>
      <c r="J819" s="98"/>
      <c r="K819" s="98"/>
      <c r="L819" s="98"/>
      <c r="M819" s="98"/>
      <c r="N819" s="98"/>
      <c r="O819" s="98"/>
      <c r="P819" s="98"/>
      <c r="Q819" s="98"/>
      <c r="R819" s="98"/>
      <c r="S819" s="98"/>
      <c r="T819" s="98"/>
      <c r="U819" s="98"/>
      <c r="V819" s="98"/>
      <c r="W819" s="98"/>
      <c r="X819" s="98"/>
      <c r="Y819" s="98"/>
      <c r="Z819" s="98"/>
      <c r="AA819" s="98"/>
      <c r="AB819" s="98"/>
      <c r="AC819" s="98"/>
    </row>
    <row r="820">
      <c r="A820" s="98"/>
      <c r="B820" s="98"/>
      <c r="C820" s="98"/>
      <c r="D820" s="98"/>
      <c r="E820" s="121"/>
      <c r="F820" s="98"/>
      <c r="G820" s="98"/>
      <c r="H820" s="98"/>
      <c r="I820" s="98"/>
      <c r="J820" s="98"/>
      <c r="K820" s="98"/>
      <c r="L820" s="98"/>
      <c r="M820" s="98"/>
      <c r="N820" s="98"/>
      <c r="O820" s="98"/>
      <c r="P820" s="98"/>
      <c r="Q820" s="98"/>
      <c r="R820" s="98"/>
      <c r="S820" s="98"/>
      <c r="T820" s="98"/>
      <c r="U820" s="98"/>
      <c r="V820" s="98"/>
      <c r="W820" s="98"/>
      <c r="X820" s="98"/>
      <c r="Y820" s="98"/>
      <c r="Z820" s="98"/>
      <c r="AA820" s="98"/>
      <c r="AB820" s="98"/>
      <c r="AC820" s="98"/>
    </row>
    <row r="821">
      <c r="A821" s="98"/>
      <c r="B821" s="98"/>
      <c r="C821" s="98"/>
      <c r="D821" s="98"/>
      <c r="E821" s="121"/>
      <c r="F821" s="98"/>
      <c r="G821" s="98"/>
      <c r="H821" s="98"/>
      <c r="I821" s="98"/>
      <c r="J821" s="98"/>
      <c r="K821" s="98"/>
      <c r="L821" s="98"/>
      <c r="M821" s="98"/>
      <c r="N821" s="98"/>
      <c r="O821" s="98"/>
      <c r="P821" s="98"/>
      <c r="Q821" s="98"/>
      <c r="R821" s="98"/>
      <c r="S821" s="98"/>
      <c r="T821" s="98"/>
      <c r="U821" s="98"/>
      <c r="V821" s="98"/>
      <c r="W821" s="98"/>
      <c r="X821" s="98"/>
      <c r="Y821" s="98"/>
      <c r="Z821" s="98"/>
      <c r="AA821" s="98"/>
      <c r="AB821" s="98"/>
      <c r="AC821" s="98"/>
    </row>
    <row r="822">
      <c r="A822" s="98"/>
      <c r="B822" s="98"/>
      <c r="C822" s="98"/>
      <c r="D822" s="98"/>
      <c r="E822" s="121"/>
      <c r="F822" s="98"/>
      <c r="G822" s="98"/>
      <c r="H822" s="98"/>
      <c r="I822" s="98"/>
      <c r="J822" s="98"/>
      <c r="K822" s="98"/>
      <c r="L822" s="98"/>
      <c r="M822" s="98"/>
      <c r="N822" s="98"/>
      <c r="O822" s="98"/>
      <c r="P822" s="98"/>
      <c r="Q822" s="98"/>
      <c r="R822" s="98"/>
      <c r="S822" s="98"/>
      <c r="T822" s="98"/>
      <c r="U822" s="98"/>
      <c r="V822" s="98"/>
      <c r="W822" s="98"/>
      <c r="X822" s="98"/>
      <c r="Y822" s="98"/>
      <c r="Z822" s="98"/>
      <c r="AA822" s="98"/>
      <c r="AB822" s="98"/>
      <c r="AC822" s="98"/>
    </row>
    <row r="823">
      <c r="A823" s="98"/>
      <c r="B823" s="98"/>
      <c r="C823" s="98"/>
      <c r="D823" s="98"/>
      <c r="E823" s="121"/>
      <c r="F823" s="98"/>
      <c r="G823" s="98"/>
      <c r="H823" s="98"/>
      <c r="I823" s="98"/>
      <c r="J823" s="98"/>
      <c r="K823" s="98"/>
      <c r="L823" s="98"/>
      <c r="M823" s="98"/>
      <c r="N823" s="98"/>
      <c r="O823" s="98"/>
      <c r="P823" s="98"/>
      <c r="Q823" s="98"/>
      <c r="R823" s="98"/>
      <c r="S823" s="98"/>
      <c r="T823" s="98"/>
      <c r="U823" s="98"/>
      <c r="V823" s="98"/>
      <c r="W823" s="98"/>
      <c r="X823" s="98"/>
      <c r="Y823" s="98"/>
      <c r="Z823" s="98"/>
      <c r="AA823" s="98"/>
      <c r="AB823" s="98"/>
      <c r="AC823" s="98"/>
    </row>
    <row r="824">
      <c r="A824" s="98"/>
      <c r="B824" s="98"/>
      <c r="C824" s="98"/>
      <c r="D824" s="98"/>
      <c r="E824" s="121"/>
      <c r="F824" s="98"/>
      <c r="G824" s="98"/>
      <c r="H824" s="98"/>
      <c r="I824" s="98"/>
      <c r="J824" s="98"/>
      <c r="K824" s="98"/>
      <c r="L824" s="98"/>
      <c r="M824" s="98"/>
      <c r="N824" s="98"/>
      <c r="O824" s="98"/>
      <c r="P824" s="98"/>
      <c r="Q824" s="98"/>
      <c r="R824" s="98"/>
      <c r="S824" s="98"/>
      <c r="T824" s="98"/>
      <c r="U824" s="98"/>
      <c r="V824" s="98"/>
      <c r="W824" s="98"/>
      <c r="X824" s="98"/>
      <c r="Y824" s="98"/>
      <c r="Z824" s="98"/>
      <c r="AA824" s="98"/>
      <c r="AB824" s="98"/>
      <c r="AC824" s="98"/>
    </row>
    <row r="825">
      <c r="A825" s="98"/>
      <c r="B825" s="98"/>
      <c r="C825" s="98"/>
      <c r="D825" s="98"/>
      <c r="E825" s="121"/>
      <c r="F825" s="98"/>
      <c r="G825" s="98"/>
      <c r="H825" s="98"/>
      <c r="I825" s="98"/>
      <c r="J825" s="98"/>
      <c r="K825" s="98"/>
      <c r="L825" s="98"/>
      <c r="M825" s="98"/>
      <c r="N825" s="98"/>
      <c r="O825" s="98"/>
      <c r="P825" s="98"/>
      <c r="Q825" s="98"/>
      <c r="R825" s="98"/>
      <c r="S825" s="98"/>
      <c r="T825" s="98"/>
      <c r="U825" s="98"/>
      <c r="V825" s="98"/>
      <c r="W825" s="98"/>
      <c r="X825" s="98"/>
      <c r="Y825" s="98"/>
      <c r="Z825" s="98"/>
      <c r="AA825" s="98"/>
      <c r="AB825" s="98"/>
      <c r="AC825" s="98"/>
    </row>
    <row r="826">
      <c r="A826" s="98"/>
      <c r="B826" s="98"/>
      <c r="C826" s="98"/>
      <c r="D826" s="98"/>
      <c r="E826" s="121"/>
      <c r="F826" s="98"/>
      <c r="G826" s="98"/>
      <c r="H826" s="98"/>
      <c r="I826" s="98"/>
      <c r="J826" s="98"/>
      <c r="K826" s="98"/>
      <c r="L826" s="98"/>
      <c r="M826" s="98"/>
      <c r="N826" s="98"/>
      <c r="O826" s="98"/>
      <c r="P826" s="98"/>
      <c r="Q826" s="98"/>
      <c r="R826" s="98"/>
      <c r="S826" s="98"/>
      <c r="T826" s="98"/>
      <c r="U826" s="98"/>
      <c r="V826" s="98"/>
      <c r="W826" s="98"/>
      <c r="X826" s="98"/>
      <c r="Y826" s="98"/>
      <c r="Z826" s="98"/>
      <c r="AA826" s="98"/>
      <c r="AB826" s="98"/>
      <c r="AC826" s="98"/>
    </row>
    <row r="827">
      <c r="A827" s="98"/>
      <c r="B827" s="98"/>
      <c r="C827" s="98"/>
      <c r="D827" s="98"/>
      <c r="E827" s="121"/>
      <c r="F827" s="98"/>
      <c r="G827" s="98"/>
      <c r="H827" s="98"/>
      <c r="I827" s="98"/>
      <c r="J827" s="98"/>
      <c r="K827" s="98"/>
      <c r="L827" s="98"/>
      <c r="M827" s="98"/>
      <c r="N827" s="98"/>
      <c r="O827" s="98"/>
      <c r="P827" s="98"/>
      <c r="Q827" s="98"/>
      <c r="R827" s="98"/>
      <c r="S827" s="98"/>
      <c r="T827" s="98"/>
      <c r="U827" s="98"/>
      <c r="V827" s="98"/>
      <c r="W827" s="98"/>
      <c r="X827" s="98"/>
      <c r="Y827" s="98"/>
      <c r="Z827" s="98"/>
      <c r="AA827" s="98"/>
      <c r="AB827" s="98"/>
      <c r="AC827" s="98"/>
    </row>
    <row r="828">
      <c r="A828" s="98"/>
      <c r="B828" s="98"/>
      <c r="C828" s="98"/>
      <c r="D828" s="98"/>
      <c r="E828" s="121"/>
      <c r="F828" s="98"/>
      <c r="G828" s="98"/>
      <c r="H828" s="98"/>
      <c r="I828" s="98"/>
      <c r="J828" s="98"/>
      <c r="K828" s="98"/>
      <c r="L828" s="98"/>
      <c r="M828" s="98"/>
      <c r="N828" s="98"/>
      <c r="O828" s="98"/>
      <c r="P828" s="98"/>
      <c r="Q828" s="98"/>
      <c r="R828" s="98"/>
      <c r="S828" s="98"/>
      <c r="T828" s="98"/>
      <c r="U828" s="98"/>
      <c r="V828" s="98"/>
      <c r="W828" s="98"/>
      <c r="X828" s="98"/>
      <c r="Y828" s="98"/>
      <c r="Z828" s="98"/>
      <c r="AA828" s="98"/>
      <c r="AB828" s="98"/>
      <c r="AC828" s="98"/>
    </row>
    <row r="829">
      <c r="A829" s="98"/>
      <c r="B829" s="98"/>
      <c r="C829" s="98"/>
      <c r="D829" s="98"/>
      <c r="E829" s="121"/>
      <c r="F829" s="98"/>
      <c r="G829" s="98"/>
      <c r="H829" s="98"/>
      <c r="I829" s="98"/>
      <c r="J829" s="98"/>
      <c r="K829" s="98"/>
      <c r="L829" s="98"/>
      <c r="M829" s="98"/>
      <c r="N829" s="98"/>
      <c r="O829" s="98"/>
      <c r="P829" s="98"/>
      <c r="Q829" s="98"/>
      <c r="R829" s="98"/>
      <c r="S829" s="98"/>
      <c r="T829" s="98"/>
      <c r="U829" s="98"/>
      <c r="V829" s="98"/>
      <c r="W829" s="98"/>
      <c r="X829" s="98"/>
      <c r="Y829" s="98"/>
      <c r="Z829" s="98"/>
      <c r="AA829" s="98"/>
      <c r="AB829" s="98"/>
      <c r="AC829" s="98"/>
    </row>
    <row r="830">
      <c r="A830" s="98"/>
      <c r="B830" s="98"/>
      <c r="C830" s="98"/>
      <c r="D830" s="98"/>
      <c r="E830" s="121"/>
      <c r="F830" s="98"/>
      <c r="G830" s="98"/>
      <c r="H830" s="98"/>
      <c r="I830" s="98"/>
      <c r="J830" s="98"/>
      <c r="K830" s="98"/>
      <c r="L830" s="98"/>
      <c r="M830" s="98"/>
      <c r="N830" s="98"/>
      <c r="O830" s="98"/>
      <c r="P830" s="98"/>
      <c r="Q830" s="98"/>
      <c r="R830" s="98"/>
      <c r="S830" s="98"/>
      <c r="T830" s="98"/>
      <c r="U830" s="98"/>
      <c r="V830" s="98"/>
      <c r="W830" s="98"/>
      <c r="X830" s="98"/>
      <c r="Y830" s="98"/>
      <c r="Z830" s="98"/>
      <c r="AA830" s="98"/>
      <c r="AB830" s="98"/>
      <c r="AC830" s="98"/>
    </row>
    <row r="831">
      <c r="A831" s="98"/>
      <c r="B831" s="98"/>
      <c r="C831" s="98"/>
      <c r="D831" s="98"/>
      <c r="E831" s="121"/>
      <c r="F831" s="98"/>
      <c r="G831" s="98"/>
      <c r="H831" s="98"/>
      <c r="I831" s="98"/>
      <c r="J831" s="98"/>
      <c r="K831" s="98"/>
      <c r="L831" s="98"/>
      <c r="M831" s="98"/>
      <c r="N831" s="98"/>
      <c r="O831" s="98"/>
      <c r="P831" s="98"/>
      <c r="Q831" s="98"/>
      <c r="R831" s="98"/>
      <c r="S831" s="98"/>
      <c r="T831" s="98"/>
      <c r="U831" s="98"/>
      <c r="V831" s="98"/>
      <c r="W831" s="98"/>
      <c r="X831" s="98"/>
      <c r="Y831" s="98"/>
      <c r="Z831" s="98"/>
      <c r="AA831" s="98"/>
      <c r="AB831" s="98"/>
      <c r="AC831" s="98"/>
    </row>
    <row r="832">
      <c r="A832" s="98"/>
      <c r="B832" s="98"/>
      <c r="C832" s="98"/>
      <c r="D832" s="98"/>
      <c r="E832" s="121"/>
      <c r="F832" s="98"/>
      <c r="G832" s="98"/>
      <c r="H832" s="98"/>
      <c r="I832" s="98"/>
      <c r="J832" s="98"/>
      <c r="K832" s="98"/>
      <c r="L832" s="98"/>
      <c r="M832" s="98"/>
      <c r="N832" s="98"/>
      <c r="O832" s="98"/>
      <c r="P832" s="98"/>
      <c r="Q832" s="98"/>
      <c r="R832" s="98"/>
      <c r="S832" s="98"/>
      <c r="T832" s="98"/>
      <c r="U832" s="98"/>
      <c r="V832" s="98"/>
      <c r="W832" s="98"/>
      <c r="X832" s="98"/>
      <c r="Y832" s="98"/>
      <c r="Z832" s="98"/>
      <c r="AA832" s="98"/>
      <c r="AB832" s="98"/>
      <c r="AC832" s="98"/>
    </row>
    <row r="833">
      <c r="A833" s="98"/>
      <c r="B833" s="98"/>
      <c r="C833" s="98"/>
      <c r="D833" s="98"/>
      <c r="E833" s="121"/>
      <c r="F833" s="98"/>
      <c r="G833" s="98"/>
      <c r="H833" s="98"/>
      <c r="I833" s="98"/>
      <c r="J833" s="98"/>
      <c r="K833" s="98"/>
      <c r="L833" s="98"/>
      <c r="M833" s="98"/>
      <c r="N833" s="98"/>
      <c r="O833" s="98"/>
      <c r="P833" s="98"/>
      <c r="Q833" s="98"/>
      <c r="R833" s="98"/>
      <c r="S833" s="98"/>
      <c r="T833" s="98"/>
      <c r="U833" s="98"/>
      <c r="V833" s="98"/>
      <c r="W833" s="98"/>
      <c r="X833" s="98"/>
      <c r="Y833" s="98"/>
      <c r="Z833" s="98"/>
      <c r="AA833" s="98"/>
      <c r="AB833" s="98"/>
      <c r="AC833" s="98"/>
    </row>
    <row r="834">
      <c r="A834" s="98"/>
      <c r="B834" s="98"/>
      <c r="C834" s="98"/>
      <c r="D834" s="98"/>
      <c r="E834" s="121"/>
      <c r="F834" s="98"/>
      <c r="G834" s="98"/>
      <c r="H834" s="98"/>
      <c r="I834" s="98"/>
      <c r="J834" s="98"/>
      <c r="K834" s="98"/>
      <c r="L834" s="98"/>
      <c r="M834" s="98"/>
      <c r="N834" s="98"/>
      <c r="O834" s="98"/>
      <c r="P834" s="98"/>
      <c r="Q834" s="98"/>
      <c r="R834" s="98"/>
      <c r="S834" s="98"/>
      <c r="T834" s="98"/>
      <c r="U834" s="98"/>
      <c r="V834" s="98"/>
      <c r="W834" s="98"/>
      <c r="X834" s="98"/>
      <c r="Y834" s="98"/>
      <c r="Z834" s="98"/>
      <c r="AA834" s="98"/>
      <c r="AB834" s="98"/>
      <c r="AC834" s="98"/>
    </row>
    <row r="835">
      <c r="A835" s="98"/>
      <c r="B835" s="98"/>
      <c r="C835" s="98"/>
      <c r="D835" s="98"/>
      <c r="E835" s="121"/>
      <c r="F835" s="98"/>
      <c r="G835" s="98"/>
      <c r="H835" s="98"/>
      <c r="I835" s="98"/>
      <c r="J835" s="98"/>
      <c r="K835" s="98"/>
      <c r="L835" s="98"/>
      <c r="M835" s="98"/>
      <c r="N835" s="98"/>
      <c r="O835" s="98"/>
      <c r="P835" s="98"/>
      <c r="Q835" s="98"/>
      <c r="R835" s="98"/>
      <c r="S835" s="98"/>
      <c r="T835" s="98"/>
      <c r="U835" s="98"/>
      <c r="V835" s="98"/>
      <c r="W835" s="98"/>
      <c r="X835" s="98"/>
      <c r="Y835" s="98"/>
      <c r="Z835" s="98"/>
      <c r="AA835" s="98"/>
      <c r="AB835" s="98"/>
      <c r="AC835" s="98"/>
    </row>
    <row r="836">
      <c r="A836" s="98"/>
      <c r="B836" s="98"/>
      <c r="C836" s="98"/>
      <c r="D836" s="98"/>
      <c r="E836" s="121"/>
      <c r="F836" s="98"/>
      <c r="G836" s="98"/>
      <c r="H836" s="98"/>
      <c r="I836" s="98"/>
      <c r="J836" s="98"/>
      <c r="K836" s="98"/>
      <c r="L836" s="98"/>
      <c r="M836" s="98"/>
      <c r="N836" s="98"/>
      <c r="O836" s="98"/>
      <c r="P836" s="98"/>
      <c r="Q836" s="98"/>
      <c r="R836" s="98"/>
      <c r="S836" s="98"/>
      <c r="T836" s="98"/>
      <c r="U836" s="98"/>
      <c r="V836" s="98"/>
      <c r="W836" s="98"/>
      <c r="X836" s="98"/>
      <c r="Y836" s="98"/>
      <c r="Z836" s="98"/>
      <c r="AA836" s="98"/>
      <c r="AB836" s="98"/>
      <c r="AC836" s="98"/>
    </row>
    <row r="837">
      <c r="A837" s="98"/>
      <c r="B837" s="98"/>
      <c r="C837" s="98"/>
      <c r="D837" s="98"/>
      <c r="E837" s="121"/>
      <c r="F837" s="98"/>
      <c r="G837" s="98"/>
      <c r="H837" s="98"/>
      <c r="I837" s="98"/>
      <c r="J837" s="98"/>
      <c r="K837" s="98"/>
      <c r="L837" s="98"/>
      <c r="M837" s="98"/>
      <c r="N837" s="98"/>
      <c r="O837" s="98"/>
      <c r="P837" s="98"/>
      <c r="Q837" s="98"/>
      <c r="R837" s="98"/>
      <c r="S837" s="98"/>
      <c r="T837" s="98"/>
      <c r="U837" s="98"/>
      <c r="V837" s="98"/>
      <c r="W837" s="98"/>
      <c r="X837" s="98"/>
      <c r="Y837" s="98"/>
      <c r="Z837" s="98"/>
      <c r="AA837" s="98"/>
      <c r="AB837" s="98"/>
      <c r="AC837" s="98"/>
    </row>
    <row r="838">
      <c r="A838" s="98"/>
      <c r="B838" s="98"/>
      <c r="C838" s="98"/>
      <c r="D838" s="98"/>
      <c r="E838" s="121"/>
      <c r="F838" s="98"/>
      <c r="G838" s="98"/>
      <c r="H838" s="98"/>
      <c r="I838" s="98"/>
      <c r="J838" s="98"/>
      <c r="K838" s="98"/>
      <c r="L838" s="98"/>
      <c r="M838" s="98"/>
      <c r="N838" s="98"/>
      <c r="O838" s="98"/>
      <c r="P838" s="98"/>
      <c r="Q838" s="98"/>
      <c r="R838" s="98"/>
      <c r="S838" s="98"/>
      <c r="T838" s="98"/>
      <c r="U838" s="98"/>
      <c r="V838" s="98"/>
      <c r="W838" s="98"/>
      <c r="X838" s="98"/>
      <c r="Y838" s="98"/>
      <c r="Z838" s="98"/>
      <c r="AA838" s="98"/>
      <c r="AB838" s="98"/>
      <c r="AC838" s="98"/>
    </row>
    <row r="839">
      <c r="A839" s="98"/>
      <c r="B839" s="98"/>
      <c r="C839" s="98"/>
      <c r="D839" s="98"/>
      <c r="E839" s="121"/>
      <c r="F839" s="98"/>
      <c r="G839" s="98"/>
      <c r="H839" s="98"/>
      <c r="I839" s="98"/>
      <c r="J839" s="98"/>
      <c r="K839" s="98"/>
      <c r="L839" s="98"/>
      <c r="M839" s="98"/>
      <c r="N839" s="98"/>
      <c r="O839" s="98"/>
      <c r="P839" s="98"/>
      <c r="Q839" s="98"/>
      <c r="R839" s="98"/>
      <c r="S839" s="98"/>
      <c r="T839" s="98"/>
      <c r="U839" s="98"/>
      <c r="V839" s="98"/>
      <c r="W839" s="98"/>
      <c r="X839" s="98"/>
      <c r="Y839" s="98"/>
      <c r="Z839" s="98"/>
      <c r="AA839" s="98"/>
      <c r="AB839" s="98"/>
      <c r="AC839" s="98"/>
    </row>
    <row r="840">
      <c r="A840" s="98"/>
      <c r="B840" s="98"/>
      <c r="C840" s="98"/>
      <c r="D840" s="98"/>
      <c r="E840" s="121"/>
      <c r="F840" s="98"/>
      <c r="G840" s="98"/>
      <c r="H840" s="98"/>
      <c r="I840" s="98"/>
      <c r="J840" s="98"/>
      <c r="K840" s="98"/>
      <c r="L840" s="98"/>
      <c r="M840" s="98"/>
      <c r="N840" s="98"/>
      <c r="O840" s="98"/>
      <c r="P840" s="98"/>
      <c r="Q840" s="98"/>
      <c r="R840" s="98"/>
      <c r="S840" s="98"/>
      <c r="T840" s="98"/>
      <c r="U840" s="98"/>
      <c r="V840" s="98"/>
      <c r="W840" s="98"/>
      <c r="X840" s="98"/>
      <c r="Y840" s="98"/>
      <c r="Z840" s="98"/>
      <c r="AA840" s="98"/>
      <c r="AB840" s="98"/>
      <c r="AC840" s="98"/>
    </row>
    <row r="841">
      <c r="A841" s="98"/>
      <c r="B841" s="98"/>
      <c r="C841" s="98"/>
      <c r="D841" s="98"/>
      <c r="E841" s="121"/>
      <c r="F841" s="98"/>
      <c r="G841" s="98"/>
      <c r="H841" s="98"/>
      <c r="I841" s="98"/>
      <c r="J841" s="98"/>
      <c r="K841" s="98"/>
      <c r="L841" s="98"/>
      <c r="M841" s="98"/>
      <c r="N841" s="98"/>
      <c r="O841" s="98"/>
      <c r="P841" s="98"/>
      <c r="Q841" s="98"/>
      <c r="R841" s="98"/>
      <c r="S841" s="98"/>
      <c r="T841" s="98"/>
      <c r="U841" s="98"/>
      <c r="V841" s="98"/>
      <c r="W841" s="98"/>
      <c r="X841" s="98"/>
      <c r="Y841" s="98"/>
      <c r="Z841" s="98"/>
      <c r="AA841" s="98"/>
      <c r="AB841" s="98"/>
      <c r="AC841" s="98"/>
    </row>
    <row r="842">
      <c r="A842" s="98"/>
      <c r="B842" s="98"/>
      <c r="C842" s="98"/>
      <c r="D842" s="98"/>
      <c r="E842" s="121"/>
      <c r="F842" s="98"/>
      <c r="G842" s="98"/>
      <c r="H842" s="98"/>
      <c r="I842" s="98"/>
      <c r="J842" s="98"/>
      <c r="K842" s="98"/>
      <c r="L842" s="98"/>
      <c r="M842" s="98"/>
      <c r="N842" s="98"/>
      <c r="O842" s="98"/>
      <c r="P842" s="98"/>
      <c r="Q842" s="98"/>
      <c r="R842" s="98"/>
      <c r="S842" s="98"/>
      <c r="T842" s="98"/>
      <c r="U842" s="98"/>
      <c r="V842" s="98"/>
      <c r="W842" s="98"/>
      <c r="X842" s="98"/>
      <c r="Y842" s="98"/>
      <c r="Z842" s="98"/>
      <c r="AA842" s="98"/>
      <c r="AB842" s="98"/>
      <c r="AC842" s="98"/>
    </row>
    <row r="843">
      <c r="A843" s="98"/>
      <c r="B843" s="98"/>
      <c r="C843" s="98"/>
      <c r="D843" s="98"/>
      <c r="E843" s="121"/>
      <c r="F843" s="98"/>
      <c r="G843" s="98"/>
      <c r="H843" s="98"/>
      <c r="I843" s="98"/>
      <c r="J843" s="98"/>
      <c r="K843" s="98"/>
      <c r="L843" s="98"/>
      <c r="M843" s="98"/>
      <c r="N843" s="98"/>
      <c r="O843" s="98"/>
      <c r="P843" s="98"/>
      <c r="Q843" s="98"/>
      <c r="R843" s="98"/>
      <c r="S843" s="98"/>
      <c r="T843" s="98"/>
      <c r="U843" s="98"/>
      <c r="V843" s="98"/>
      <c r="W843" s="98"/>
      <c r="X843" s="98"/>
      <c r="Y843" s="98"/>
      <c r="Z843" s="98"/>
      <c r="AA843" s="98"/>
      <c r="AB843" s="98"/>
      <c r="AC843" s="98"/>
    </row>
    <row r="844">
      <c r="A844" s="98"/>
      <c r="B844" s="98"/>
      <c r="C844" s="98"/>
      <c r="D844" s="98"/>
      <c r="E844" s="121"/>
      <c r="F844" s="98"/>
      <c r="G844" s="98"/>
      <c r="H844" s="98"/>
      <c r="I844" s="98"/>
      <c r="J844" s="98"/>
      <c r="K844" s="98"/>
      <c r="L844" s="98"/>
      <c r="M844" s="98"/>
      <c r="N844" s="98"/>
      <c r="O844" s="98"/>
      <c r="P844" s="98"/>
      <c r="Q844" s="98"/>
      <c r="R844" s="98"/>
      <c r="S844" s="98"/>
      <c r="T844" s="98"/>
      <c r="U844" s="98"/>
      <c r="V844" s="98"/>
      <c r="W844" s="98"/>
      <c r="X844" s="98"/>
      <c r="Y844" s="98"/>
      <c r="Z844" s="98"/>
      <c r="AA844" s="98"/>
      <c r="AB844" s="98"/>
      <c r="AC844" s="98"/>
    </row>
    <row r="845">
      <c r="A845" s="98"/>
      <c r="B845" s="98"/>
      <c r="C845" s="98"/>
      <c r="D845" s="98"/>
      <c r="E845" s="121"/>
      <c r="F845" s="98"/>
      <c r="G845" s="98"/>
      <c r="H845" s="98"/>
      <c r="I845" s="98"/>
      <c r="J845" s="98"/>
      <c r="K845" s="98"/>
      <c r="L845" s="98"/>
      <c r="M845" s="98"/>
      <c r="N845" s="98"/>
      <c r="O845" s="98"/>
      <c r="P845" s="98"/>
      <c r="Q845" s="98"/>
      <c r="R845" s="98"/>
      <c r="S845" s="98"/>
      <c r="T845" s="98"/>
      <c r="U845" s="98"/>
      <c r="V845" s="98"/>
      <c r="W845" s="98"/>
      <c r="X845" s="98"/>
      <c r="Y845" s="98"/>
      <c r="Z845" s="98"/>
      <c r="AA845" s="98"/>
      <c r="AB845" s="98"/>
      <c r="AC845" s="98"/>
    </row>
    <row r="846">
      <c r="A846" s="98"/>
      <c r="B846" s="98"/>
      <c r="C846" s="98"/>
      <c r="D846" s="98"/>
      <c r="E846" s="121"/>
      <c r="F846" s="98"/>
      <c r="G846" s="98"/>
      <c r="H846" s="98"/>
      <c r="I846" s="98"/>
      <c r="J846" s="98"/>
      <c r="K846" s="98"/>
      <c r="L846" s="98"/>
      <c r="M846" s="98"/>
      <c r="N846" s="98"/>
      <c r="O846" s="98"/>
      <c r="P846" s="98"/>
      <c r="Q846" s="98"/>
      <c r="R846" s="98"/>
      <c r="S846" s="98"/>
      <c r="T846" s="98"/>
      <c r="U846" s="98"/>
      <c r="V846" s="98"/>
      <c r="W846" s="98"/>
      <c r="X846" s="98"/>
      <c r="Y846" s="98"/>
      <c r="Z846" s="98"/>
      <c r="AA846" s="98"/>
      <c r="AB846" s="98"/>
      <c r="AC846" s="98"/>
    </row>
    <row r="847">
      <c r="A847" s="98"/>
      <c r="B847" s="98"/>
      <c r="C847" s="98"/>
      <c r="D847" s="98"/>
      <c r="E847" s="121"/>
      <c r="F847" s="98"/>
      <c r="G847" s="98"/>
      <c r="H847" s="98"/>
      <c r="I847" s="98"/>
      <c r="J847" s="98"/>
      <c r="K847" s="98"/>
      <c r="L847" s="98"/>
      <c r="M847" s="98"/>
      <c r="N847" s="98"/>
      <c r="O847" s="98"/>
      <c r="P847" s="98"/>
      <c r="Q847" s="98"/>
      <c r="R847" s="98"/>
      <c r="S847" s="98"/>
      <c r="T847" s="98"/>
      <c r="U847" s="98"/>
      <c r="V847" s="98"/>
      <c r="W847" s="98"/>
      <c r="X847" s="98"/>
      <c r="Y847" s="98"/>
      <c r="Z847" s="98"/>
      <c r="AA847" s="98"/>
      <c r="AB847" s="98"/>
      <c r="AC847" s="98"/>
    </row>
    <row r="848">
      <c r="A848" s="98"/>
      <c r="B848" s="98"/>
      <c r="C848" s="98"/>
      <c r="D848" s="98"/>
      <c r="E848" s="121"/>
      <c r="F848" s="98"/>
      <c r="G848" s="98"/>
      <c r="H848" s="98"/>
      <c r="I848" s="98"/>
      <c r="J848" s="98"/>
      <c r="K848" s="98"/>
      <c r="L848" s="98"/>
      <c r="M848" s="98"/>
      <c r="N848" s="98"/>
      <c r="O848" s="98"/>
      <c r="P848" s="98"/>
      <c r="Q848" s="98"/>
      <c r="R848" s="98"/>
      <c r="S848" s="98"/>
      <c r="T848" s="98"/>
      <c r="U848" s="98"/>
      <c r="V848" s="98"/>
      <c r="W848" s="98"/>
      <c r="X848" s="98"/>
      <c r="Y848" s="98"/>
      <c r="Z848" s="98"/>
      <c r="AA848" s="98"/>
      <c r="AB848" s="98"/>
      <c r="AC848" s="98"/>
    </row>
    <row r="849">
      <c r="A849" s="98"/>
      <c r="B849" s="98"/>
      <c r="C849" s="98"/>
      <c r="D849" s="98"/>
      <c r="E849" s="121"/>
      <c r="F849" s="98"/>
      <c r="G849" s="98"/>
      <c r="H849" s="98"/>
      <c r="I849" s="98"/>
      <c r="J849" s="98"/>
      <c r="K849" s="98"/>
      <c r="L849" s="98"/>
      <c r="M849" s="98"/>
      <c r="N849" s="98"/>
      <c r="O849" s="98"/>
      <c r="P849" s="98"/>
      <c r="Q849" s="98"/>
      <c r="R849" s="98"/>
      <c r="S849" s="98"/>
      <c r="T849" s="98"/>
      <c r="U849" s="98"/>
      <c r="V849" s="98"/>
      <c r="W849" s="98"/>
      <c r="X849" s="98"/>
      <c r="Y849" s="98"/>
      <c r="Z849" s="98"/>
      <c r="AA849" s="98"/>
      <c r="AB849" s="98"/>
      <c r="AC849" s="98"/>
    </row>
    <row r="850">
      <c r="A850" s="98"/>
      <c r="B850" s="98"/>
      <c r="C850" s="98"/>
      <c r="D850" s="98"/>
      <c r="E850" s="121"/>
      <c r="F850" s="98"/>
      <c r="G850" s="98"/>
      <c r="H850" s="98"/>
      <c r="I850" s="98"/>
      <c r="J850" s="98"/>
      <c r="K850" s="98"/>
      <c r="L850" s="98"/>
      <c r="M850" s="98"/>
      <c r="N850" s="98"/>
      <c r="O850" s="98"/>
      <c r="P850" s="98"/>
      <c r="Q850" s="98"/>
      <c r="R850" s="98"/>
      <c r="S850" s="98"/>
      <c r="T850" s="98"/>
      <c r="U850" s="98"/>
      <c r="V850" s="98"/>
      <c r="W850" s="98"/>
      <c r="X850" s="98"/>
      <c r="Y850" s="98"/>
      <c r="Z850" s="98"/>
      <c r="AA850" s="98"/>
      <c r="AB850" s="98"/>
      <c r="AC850" s="98"/>
    </row>
    <row r="851">
      <c r="A851" s="98"/>
      <c r="B851" s="98"/>
      <c r="C851" s="98"/>
      <c r="D851" s="98"/>
      <c r="E851" s="121"/>
      <c r="F851" s="98"/>
      <c r="G851" s="98"/>
      <c r="H851" s="98"/>
      <c r="I851" s="98"/>
      <c r="J851" s="98"/>
      <c r="K851" s="98"/>
      <c r="L851" s="98"/>
      <c r="M851" s="98"/>
      <c r="N851" s="98"/>
      <c r="O851" s="98"/>
      <c r="P851" s="98"/>
      <c r="Q851" s="98"/>
      <c r="R851" s="98"/>
      <c r="S851" s="98"/>
      <c r="T851" s="98"/>
      <c r="U851" s="98"/>
      <c r="V851" s="98"/>
      <c r="W851" s="98"/>
      <c r="X851" s="98"/>
      <c r="Y851" s="98"/>
      <c r="Z851" s="98"/>
      <c r="AA851" s="98"/>
      <c r="AB851" s="98"/>
      <c r="AC851" s="98"/>
    </row>
    <row r="852">
      <c r="A852" s="98"/>
      <c r="B852" s="98"/>
      <c r="C852" s="98"/>
      <c r="D852" s="98"/>
      <c r="E852" s="121"/>
      <c r="F852" s="98"/>
      <c r="G852" s="98"/>
      <c r="H852" s="98"/>
      <c r="I852" s="98"/>
      <c r="J852" s="98"/>
      <c r="K852" s="98"/>
      <c r="L852" s="98"/>
      <c r="M852" s="98"/>
      <c r="N852" s="98"/>
      <c r="O852" s="98"/>
      <c r="P852" s="98"/>
      <c r="Q852" s="98"/>
      <c r="R852" s="98"/>
      <c r="S852" s="98"/>
      <c r="T852" s="98"/>
      <c r="U852" s="98"/>
      <c r="V852" s="98"/>
      <c r="W852" s="98"/>
      <c r="X852" s="98"/>
      <c r="Y852" s="98"/>
      <c r="Z852" s="98"/>
      <c r="AA852" s="98"/>
      <c r="AB852" s="98"/>
      <c r="AC852" s="98"/>
    </row>
    <row r="853">
      <c r="A853" s="98"/>
      <c r="B853" s="98"/>
      <c r="C853" s="98"/>
      <c r="D853" s="98"/>
      <c r="E853" s="121"/>
      <c r="F853" s="98"/>
      <c r="G853" s="98"/>
      <c r="H853" s="98"/>
      <c r="I853" s="98"/>
      <c r="J853" s="98"/>
      <c r="K853" s="98"/>
      <c r="L853" s="98"/>
      <c r="M853" s="98"/>
      <c r="N853" s="98"/>
      <c r="O853" s="98"/>
      <c r="P853" s="98"/>
      <c r="Q853" s="98"/>
      <c r="R853" s="98"/>
      <c r="S853" s="98"/>
      <c r="T853" s="98"/>
      <c r="U853" s="98"/>
      <c r="V853" s="98"/>
      <c r="W853" s="98"/>
      <c r="X853" s="98"/>
      <c r="Y853" s="98"/>
      <c r="Z853" s="98"/>
      <c r="AA853" s="98"/>
      <c r="AB853" s="98"/>
      <c r="AC853" s="98"/>
    </row>
    <row r="854">
      <c r="A854" s="98"/>
      <c r="B854" s="98"/>
      <c r="C854" s="98"/>
      <c r="D854" s="98"/>
      <c r="E854" s="121"/>
      <c r="F854" s="98"/>
      <c r="G854" s="98"/>
      <c r="H854" s="98"/>
      <c r="I854" s="98"/>
      <c r="J854" s="98"/>
      <c r="K854" s="98"/>
      <c r="L854" s="98"/>
      <c r="M854" s="98"/>
      <c r="N854" s="98"/>
      <c r="O854" s="98"/>
      <c r="P854" s="98"/>
      <c r="Q854" s="98"/>
      <c r="R854" s="98"/>
      <c r="S854" s="98"/>
      <c r="T854" s="98"/>
      <c r="U854" s="98"/>
      <c r="V854" s="98"/>
      <c r="W854" s="98"/>
      <c r="X854" s="98"/>
      <c r="Y854" s="98"/>
      <c r="Z854" s="98"/>
      <c r="AA854" s="98"/>
      <c r="AB854" s="98"/>
      <c r="AC854" s="98"/>
    </row>
    <row r="855">
      <c r="A855" s="98"/>
      <c r="B855" s="98"/>
      <c r="C855" s="98"/>
      <c r="D855" s="98"/>
      <c r="E855" s="121"/>
      <c r="F855" s="98"/>
      <c r="G855" s="98"/>
      <c r="H855" s="98"/>
      <c r="I855" s="98"/>
      <c r="J855" s="98"/>
      <c r="K855" s="98"/>
      <c r="L855" s="98"/>
      <c r="M855" s="98"/>
      <c r="N855" s="98"/>
      <c r="O855" s="98"/>
      <c r="P855" s="98"/>
      <c r="Q855" s="98"/>
      <c r="R855" s="98"/>
      <c r="S855" s="98"/>
      <c r="T855" s="98"/>
      <c r="U855" s="98"/>
      <c r="V855" s="98"/>
      <c r="W855" s="98"/>
      <c r="X855" s="98"/>
      <c r="Y855" s="98"/>
      <c r="Z855" s="98"/>
      <c r="AA855" s="98"/>
      <c r="AB855" s="98"/>
      <c r="AC855" s="98"/>
    </row>
    <row r="856">
      <c r="A856" s="98"/>
      <c r="B856" s="98"/>
      <c r="C856" s="98"/>
      <c r="D856" s="98"/>
      <c r="E856" s="121"/>
      <c r="F856" s="98"/>
      <c r="G856" s="98"/>
      <c r="H856" s="98"/>
      <c r="I856" s="98"/>
      <c r="J856" s="98"/>
      <c r="K856" s="98"/>
      <c r="L856" s="98"/>
      <c r="M856" s="98"/>
      <c r="N856" s="98"/>
      <c r="O856" s="98"/>
      <c r="P856" s="98"/>
      <c r="Q856" s="98"/>
      <c r="R856" s="98"/>
      <c r="S856" s="98"/>
      <c r="T856" s="98"/>
      <c r="U856" s="98"/>
      <c r="V856" s="98"/>
      <c r="W856" s="98"/>
      <c r="X856" s="98"/>
      <c r="Y856" s="98"/>
      <c r="Z856" s="98"/>
      <c r="AA856" s="98"/>
      <c r="AB856" s="98"/>
      <c r="AC856" s="98"/>
    </row>
    <row r="857">
      <c r="A857" s="98"/>
      <c r="B857" s="98"/>
      <c r="C857" s="98"/>
      <c r="D857" s="98"/>
      <c r="E857" s="121"/>
      <c r="F857" s="98"/>
      <c r="G857" s="98"/>
      <c r="H857" s="98"/>
      <c r="I857" s="98"/>
      <c r="J857" s="98"/>
      <c r="K857" s="98"/>
      <c r="L857" s="98"/>
      <c r="M857" s="98"/>
      <c r="N857" s="98"/>
      <c r="O857" s="98"/>
      <c r="P857" s="98"/>
      <c r="Q857" s="98"/>
      <c r="R857" s="98"/>
      <c r="S857" s="98"/>
      <c r="T857" s="98"/>
      <c r="U857" s="98"/>
      <c r="V857" s="98"/>
      <c r="W857" s="98"/>
      <c r="X857" s="98"/>
      <c r="Y857" s="98"/>
      <c r="Z857" s="98"/>
      <c r="AA857" s="98"/>
      <c r="AB857" s="98"/>
      <c r="AC857" s="98"/>
    </row>
    <row r="858">
      <c r="A858" s="98"/>
      <c r="B858" s="98"/>
      <c r="C858" s="98"/>
      <c r="D858" s="98"/>
      <c r="E858" s="121"/>
      <c r="F858" s="98"/>
      <c r="G858" s="98"/>
      <c r="H858" s="98"/>
      <c r="I858" s="98"/>
      <c r="J858" s="98"/>
      <c r="K858" s="98"/>
      <c r="L858" s="98"/>
      <c r="M858" s="98"/>
      <c r="N858" s="98"/>
      <c r="O858" s="98"/>
      <c r="P858" s="98"/>
      <c r="Q858" s="98"/>
      <c r="R858" s="98"/>
      <c r="S858" s="98"/>
      <c r="T858" s="98"/>
      <c r="U858" s="98"/>
      <c r="V858" s="98"/>
      <c r="W858" s="98"/>
      <c r="X858" s="98"/>
      <c r="Y858" s="98"/>
      <c r="Z858" s="98"/>
      <c r="AA858" s="98"/>
      <c r="AB858" s="98"/>
      <c r="AC858" s="98"/>
    </row>
    <row r="859">
      <c r="A859" s="98"/>
      <c r="B859" s="98"/>
      <c r="C859" s="98"/>
      <c r="D859" s="98"/>
      <c r="E859" s="121"/>
      <c r="F859" s="98"/>
      <c r="G859" s="98"/>
      <c r="H859" s="98"/>
      <c r="I859" s="98"/>
      <c r="J859" s="98"/>
      <c r="K859" s="98"/>
      <c r="L859" s="98"/>
      <c r="M859" s="98"/>
      <c r="N859" s="98"/>
      <c r="O859" s="98"/>
      <c r="P859" s="98"/>
      <c r="Q859" s="98"/>
      <c r="R859" s="98"/>
      <c r="S859" s="98"/>
      <c r="T859" s="98"/>
      <c r="U859" s="98"/>
      <c r="V859" s="98"/>
      <c r="W859" s="98"/>
      <c r="X859" s="98"/>
      <c r="Y859" s="98"/>
      <c r="Z859" s="98"/>
      <c r="AA859" s="98"/>
      <c r="AB859" s="98"/>
      <c r="AC859" s="98"/>
    </row>
    <row r="860">
      <c r="A860" s="98"/>
      <c r="B860" s="98"/>
      <c r="C860" s="98"/>
      <c r="D860" s="98"/>
      <c r="E860" s="121"/>
      <c r="F860" s="98"/>
      <c r="G860" s="98"/>
      <c r="H860" s="98"/>
      <c r="I860" s="98"/>
      <c r="J860" s="98"/>
      <c r="K860" s="98"/>
      <c r="L860" s="98"/>
      <c r="M860" s="98"/>
      <c r="N860" s="98"/>
      <c r="O860" s="98"/>
      <c r="P860" s="98"/>
      <c r="Q860" s="98"/>
      <c r="R860" s="98"/>
      <c r="S860" s="98"/>
      <c r="T860" s="98"/>
      <c r="U860" s="98"/>
      <c r="V860" s="98"/>
      <c r="W860" s="98"/>
      <c r="X860" s="98"/>
      <c r="Y860" s="98"/>
      <c r="Z860" s="98"/>
      <c r="AA860" s="98"/>
      <c r="AB860" s="98"/>
      <c r="AC860" s="98"/>
    </row>
    <row r="861">
      <c r="A861" s="98"/>
      <c r="B861" s="98"/>
      <c r="C861" s="98"/>
      <c r="D861" s="98"/>
      <c r="E861" s="121"/>
      <c r="F861" s="98"/>
      <c r="G861" s="98"/>
      <c r="H861" s="98"/>
      <c r="I861" s="98"/>
      <c r="J861" s="98"/>
      <c r="K861" s="98"/>
      <c r="L861" s="98"/>
      <c r="M861" s="98"/>
      <c r="N861" s="98"/>
      <c r="O861" s="98"/>
      <c r="P861" s="98"/>
      <c r="Q861" s="98"/>
      <c r="R861" s="98"/>
      <c r="S861" s="98"/>
      <c r="T861" s="98"/>
      <c r="U861" s="98"/>
      <c r="V861" s="98"/>
      <c r="W861" s="98"/>
      <c r="X861" s="98"/>
      <c r="Y861" s="98"/>
      <c r="Z861" s="98"/>
      <c r="AA861" s="98"/>
      <c r="AB861" s="98"/>
      <c r="AC861" s="98"/>
    </row>
    <row r="862">
      <c r="A862" s="98"/>
      <c r="B862" s="98"/>
      <c r="C862" s="98"/>
      <c r="D862" s="98"/>
      <c r="E862" s="121"/>
      <c r="F862" s="98"/>
      <c r="G862" s="98"/>
      <c r="H862" s="98"/>
      <c r="I862" s="98"/>
      <c r="J862" s="98"/>
      <c r="K862" s="98"/>
      <c r="L862" s="98"/>
      <c r="M862" s="98"/>
      <c r="N862" s="98"/>
      <c r="O862" s="98"/>
      <c r="P862" s="98"/>
      <c r="Q862" s="98"/>
      <c r="R862" s="98"/>
      <c r="S862" s="98"/>
      <c r="T862" s="98"/>
      <c r="U862" s="98"/>
      <c r="V862" s="98"/>
      <c r="W862" s="98"/>
      <c r="X862" s="98"/>
      <c r="Y862" s="98"/>
      <c r="Z862" s="98"/>
      <c r="AA862" s="98"/>
      <c r="AB862" s="98"/>
      <c r="AC862" s="98"/>
    </row>
    <row r="863">
      <c r="A863" s="98"/>
      <c r="B863" s="98"/>
      <c r="C863" s="98"/>
      <c r="D863" s="98"/>
      <c r="E863" s="121"/>
      <c r="F863" s="98"/>
      <c r="G863" s="98"/>
      <c r="H863" s="98"/>
      <c r="I863" s="98"/>
      <c r="J863" s="98"/>
      <c r="K863" s="98"/>
      <c r="L863" s="98"/>
      <c r="M863" s="98"/>
      <c r="N863" s="98"/>
      <c r="O863" s="98"/>
      <c r="P863" s="98"/>
      <c r="Q863" s="98"/>
      <c r="R863" s="98"/>
      <c r="S863" s="98"/>
      <c r="T863" s="98"/>
      <c r="U863" s="98"/>
      <c r="V863" s="98"/>
      <c r="W863" s="98"/>
      <c r="X863" s="98"/>
      <c r="Y863" s="98"/>
      <c r="Z863" s="98"/>
      <c r="AA863" s="98"/>
      <c r="AB863" s="98"/>
      <c r="AC863" s="98"/>
    </row>
    <row r="864">
      <c r="A864" s="98"/>
      <c r="B864" s="98"/>
      <c r="C864" s="98"/>
      <c r="D864" s="98"/>
      <c r="E864" s="121"/>
      <c r="F864" s="98"/>
      <c r="G864" s="98"/>
      <c r="H864" s="98"/>
      <c r="I864" s="98"/>
      <c r="J864" s="98"/>
      <c r="K864" s="98"/>
      <c r="L864" s="98"/>
      <c r="M864" s="98"/>
      <c r="N864" s="98"/>
      <c r="O864" s="98"/>
      <c r="P864" s="98"/>
      <c r="Q864" s="98"/>
      <c r="R864" s="98"/>
      <c r="S864" s="98"/>
      <c r="T864" s="98"/>
      <c r="U864" s="98"/>
      <c r="V864" s="98"/>
      <c r="W864" s="98"/>
      <c r="X864" s="98"/>
      <c r="Y864" s="98"/>
      <c r="Z864" s="98"/>
      <c r="AA864" s="98"/>
      <c r="AB864" s="98"/>
      <c r="AC864" s="98"/>
    </row>
    <row r="865">
      <c r="A865" s="98"/>
      <c r="B865" s="98"/>
      <c r="C865" s="98"/>
      <c r="D865" s="98"/>
      <c r="E865" s="121"/>
      <c r="F865" s="98"/>
      <c r="G865" s="98"/>
      <c r="H865" s="98"/>
      <c r="I865" s="98"/>
      <c r="J865" s="98"/>
      <c r="K865" s="98"/>
      <c r="L865" s="98"/>
      <c r="M865" s="98"/>
      <c r="N865" s="98"/>
      <c r="O865" s="98"/>
      <c r="P865" s="98"/>
      <c r="Q865" s="98"/>
      <c r="R865" s="98"/>
      <c r="S865" s="98"/>
      <c r="T865" s="98"/>
      <c r="U865" s="98"/>
      <c r="V865" s="98"/>
      <c r="W865" s="98"/>
      <c r="X865" s="98"/>
      <c r="Y865" s="98"/>
      <c r="Z865" s="98"/>
      <c r="AA865" s="98"/>
      <c r="AB865" s="98"/>
      <c r="AC865" s="98"/>
    </row>
    <row r="866">
      <c r="A866" s="98"/>
      <c r="B866" s="98"/>
      <c r="C866" s="98"/>
      <c r="D866" s="98"/>
      <c r="E866" s="121"/>
      <c r="F866" s="98"/>
      <c r="G866" s="98"/>
      <c r="H866" s="98"/>
      <c r="I866" s="98"/>
      <c r="J866" s="98"/>
      <c r="K866" s="98"/>
      <c r="L866" s="98"/>
      <c r="M866" s="98"/>
      <c r="N866" s="98"/>
      <c r="O866" s="98"/>
      <c r="P866" s="98"/>
      <c r="Q866" s="98"/>
      <c r="R866" s="98"/>
      <c r="S866" s="98"/>
      <c r="T866" s="98"/>
      <c r="U866" s="98"/>
      <c r="V866" s="98"/>
      <c r="W866" s="98"/>
      <c r="X866" s="98"/>
      <c r="Y866" s="98"/>
      <c r="Z866" s="98"/>
      <c r="AA866" s="98"/>
      <c r="AB866" s="98"/>
      <c r="AC866" s="98"/>
    </row>
    <row r="867">
      <c r="A867" s="98"/>
      <c r="B867" s="98"/>
      <c r="C867" s="98"/>
      <c r="D867" s="98"/>
      <c r="E867" s="121"/>
      <c r="F867" s="98"/>
      <c r="G867" s="98"/>
      <c r="H867" s="98"/>
      <c r="I867" s="98"/>
      <c r="J867" s="98"/>
      <c r="K867" s="98"/>
      <c r="L867" s="98"/>
      <c r="M867" s="98"/>
      <c r="N867" s="98"/>
      <c r="O867" s="98"/>
      <c r="P867" s="98"/>
      <c r="Q867" s="98"/>
      <c r="R867" s="98"/>
      <c r="S867" s="98"/>
      <c r="T867" s="98"/>
      <c r="U867" s="98"/>
      <c r="V867" s="98"/>
      <c r="W867" s="98"/>
      <c r="X867" s="98"/>
      <c r="Y867" s="98"/>
      <c r="Z867" s="98"/>
      <c r="AA867" s="98"/>
      <c r="AB867" s="98"/>
      <c r="AC867" s="98"/>
    </row>
    <row r="868">
      <c r="A868" s="98"/>
      <c r="B868" s="98"/>
      <c r="C868" s="98"/>
      <c r="D868" s="98"/>
      <c r="E868" s="121"/>
      <c r="F868" s="98"/>
      <c r="G868" s="98"/>
      <c r="H868" s="98"/>
      <c r="I868" s="98"/>
      <c r="J868" s="98"/>
      <c r="K868" s="98"/>
      <c r="L868" s="98"/>
      <c r="M868" s="98"/>
      <c r="N868" s="98"/>
      <c r="O868" s="98"/>
      <c r="P868" s="98"/>
      <c r="Q868" s="98"/>
      <c r="R868" s="98"/>
      <c r="S868" s="98"/>
      <c r="T868" s="98"/>
      <c r="U868" s="98"/>
      <c r="V868" s="98"/>
      <c r="W868" s="98"/>
      <c r="X868" s="98"/>
      <c r="Y868" s="98"/>
      <c r="Z868" s="98"/>
      <c r="AA868" s="98"/>
      <c r="AB868" s="98"/>
      <c r="AC868" s="98"/>
    </row>
    <row r="869">
      <c r="A869" s="98"/>
      <c r="B869" s="98"/>
      <c r="C869" s="98"/>
      <c r="D869" s="98"/>
      <c r="E869" s="121"/>
      <c r="F869" s="98"/>
      <c r="G869" s="98"/>
      <c r="H869" s="98"/>
      <c r="I869" s="98"/>
      <c r="J869" s="98"/>
      <c r="K869" s="98"/>
      <c r="L869" s="98"/>
      <c r="M869" s="98"/>
      <c r="N869" s="98"/>
      <c r="O869" s="98"/>
      <c r="P869" s="98"/>
      <c r="Q869" s="98"/>
      <c r="R869" s="98"/>
      <c r="S869" s="98"/>
      <c r="T869" s="98"/>
      <c r="U869" s="98"/>
      <c r="V869" s="98"/>
      <c r="W869" s="98"/>
      <c r="X869" s="98"/>
      <c r="Y869" s="98"/>
      <c r="Z869" s="98"/>
      <c r="AA869" s="98"/>
      <c r="AB869" s="98"/>
      <c r="AC869" s="98"/>
    </row>
    <row r="870">
      <c r="A870" s="98"/>
      <c r="B870" s="98"/>
      <c r="C870" s="98"/>
      <c r="D870" s="98"/>
      <c r="E870" s="121"/>
      <c r="F870" s="98"/>
      <c r="G870" s="98"/>
      <c r="H870" s="98"/>
      <c r="I870" s="98"/>
      <c r="J870" s="98"/>
      <c r="K870" s="98"/>
      <c r="L870" s="98"/>
      <c r="M870" s="98"/>
      <c r="N870" s="98"/>
      <c r="O870" s="98"/>
      <c r="P870" s="98"/>
      <c r="Q870" s="98"/>
      <c r="R870" s="98"/>
      <c r="S870" s="98"/>
      <c r="T870" s="98"/>
      <c r="U870" s="98"/>
      <c r="V870" s="98"/>
      <c r="W870" s="98"/>
      <c r="X870" s="98"/>
      <c r="Y870" s="98"/>
      <c r="Z870" s="98"/>
      <c r="AA870" s="98"/>
      <c r="AB870" s="98"/>
      <c r="AC870" s="98"/>
    </row>
    <row r="871">
      <c r="A871" s="98"/>
      <c r="B871" s="98"/>
      <c r="C871" s="98"/>
      <c r="D871" s="98"/>
      <c r="E871" s="121"/>
      <c r="F871" s="98"/>
      <c r="G871" s="98"/>
      <c r="H871" s="98"/>
      <c r="I871" s="98"/>
      <c r="J871" s="98"/>
      <c r="K871" s="98"/>
      <c r="L871" s="98"/>
      <c r="M871" s="98"/>
      <c r="N871" s="98"/>
      <c r="O871" s="98"/>
      <c r="P871" s="98"/>
      <c r="Q871" s="98"/>
      <c r="R871" s="98"/>
      <c r="S871" s="98"/>
      <c r="T871" s="98"/>
      <c r="U871" s="98"/>
      <c r="V871" s="98"/>
      <c r="W871" s="98"/>
      <c r="X871" s="98"/>
      <c r="Y871" s="98"/>
      <c r="Z871" s="98"/>
      <c r="AA871" s="98"/>
      <c r="AB871" s="98"/>
      <c r="AC871" s="98"/>
    </row>
    <row r="872">
      <c r="A872" s="98"/>
      <c r="B872" s="98"/>
      <c r="C872" s="98"/>
      <c r="D872" s="98"/>
      <c r="E872" s="121"/>
      <c r="F872" s="98"/>
      <c r="G872" s="98"/>
      <c r="H872" s="98"/>
      <c r="I872" s="98"/>
      <c r="J872" s="98"/>
      <c r="K872" s="98"/>
      <c r="L872" s="98"/>
      <c r="M872" s="98"/>
      <c r="N872" s="98"/>
      <c r="O872" s="98"/>
      <c r="P872" s="98"/>
      <c r="Q872" s="98"/>
      <c r="R872" s="98"/>
      <c r="S872" s="98"/>
      <c r="T872" s="98"/>
      <c r="U872" s="98"/>
      <c r="V872" s="98"/>
      <c r="W872" s="98"/>
      <c r="X872" s="98"/>
      <c r="Y872" s="98"/>
      <c r="Z872" s="98"/>
      <c r="AA872" s="98"/>
      <c r="AB872" s="98"/>
      <c r="AC872" s="98"/>
    </row>
    <row r="873">
      <c r="A873" s="98"/>
      <c r="B873" s="98"/>
      <c r="C873" s="98"/>
      <c r="D873" s="98"/>
      <c r="E873" s="121"/>
      <c r="F873" s="98"/>
      <c r="G873" s="98"/>
      <c r="H873" s="98"/>
      <c r="I873" s="98"/>
      <c r="J873" s="98"/>
      <c r="K873" s="98"/>
      <c r="L873" s="98"/>
      <c r="M873" s="98"/>
      <c r="N873" s="98"/>
      <c r="O873" s="98"/>
      <c r="P873" s="98"/>
      <c r="Q873" s="98"/>
      <c r="R873" s="98"/>
      <c r="S873" s="98"/>
      <c r="T873" s="98"/>
      <c r="U873" s="98"/>
      <c r="V873" s="98"/>
      <c r="W873" s="98"/>
      <c r="X873" s="98"/>
      <c r="Y873" s="98"/>
      <c r="Z873" s="98"/>
      <c r="AA873" s="98"/>
      <c r="AB873" s="98"/>
      <c r="AC873" s="98"/>
    </row>
    <row r="874">
      <c r="A874" s="98"/>
      <c r="B874" s="98"/>
      <c r="C874" s="98"/>
      <c r="D874" s="98"/>
      <c r="E874" s="121"/>
      <c r="F874" s="98"/>
      <c r="G874" s="98"/>
      <c r="H874" s="98"/>
      <c r="I874" s="98"/>
      <c r="J874" s="98"/>
      <c r="K874" s="98"/>
      <c r="L874" s="98"/>
      <c r="M874" s="98"/>
      <c r="N874" s="98"/>
      <c r="O874" s="98"/>
      <c r="P874" s="98"/>
      <c r="Q874" s="98"/>
      <c r="R874" s="98"/>
      <c r="S874" s="98"/>
      <c r="T874" s="98"/>
      <c r="U874" s="98"/>
      <c r="V874" s="98"/>
      <c r="W874" s="98"/>
      <c r="X874" s="98"/>
      <c r="Y874" s="98"/>
      <c r="Z874" s="98"/>
      <c r="AA874" s="98"/>
      <c r="AB874" s="98"/>
      <c r="AC874" s="98"/>
    </row>
    <row r="875">
      <c r="A875" s="98"/>
      <c r="B875" s="98"/>
      <c r="C875" s="98"/>
      <c r="D875" s="98"/>
      <c r="E875" s="121"/>
      <c r="F875" s="98"/>
      <c r="G875" s="98"/>
      <c r="H875" s="98"/>
      <c r="I875" s="98"/>
      <c r="J875" s="98"/>
      <c r="K875" s="98"/>
      <c r="L875" s="98"/>
      <c r="M875" s="98"/>
      <c r="N875" s="98"/>
      <c r="O875" s="98"/>
      <c r="P875" s="98"/>
      <c r="Q875" s="98"/>
      <c r="R875" s="98"/>
      <c r="S875" s="98"/>
      <c r="T875" s="98"/>
      <c r="U875" s="98"/>
      <c r="V875" s="98"/>
      <c r="W875" s="98"/>
      <c r="X875" s="98"/>
      <c r="Y875" s="98"/>
      <c r="Z875" s="98"/>
      <c r="AA875" s="98"/>
      <c r="AB875" s="98"/>
      <c r="AC875" s="98"/>
    </row>
    <row r="876">
      <c r="A876" s="98"/>
      <c r="B876" s="98"/>
      <c r="C876" s="98"/>
      <c r="D876" s="98"/>
      <c r="E876" s="121"/>
      <c r="F876" s="98"/>
      <c r="G876" s="98"/>
      <c r="H876" s="98"/>
      <c r="I876" s="98"/>
      <c r="J876" s="98"/>
      <c r="K876" s="98"/>
      <c r="L876" s="98"/>
      <c r="M876" s="98"/>
      <c r="N876" s="98"/>
      <c r="O876" s="98"/>
      <c r="P876" s="98"/>
      <c r="Q876" s="98"/>
      <c r="R876" s="98"/>
      <c r="S876" s="98"/>
      <c r="T876" s="98"/>
      <c r="U876" s="98"/>
      <c r="V876" s="98"/>
      <c r="W876" s="98"/>
      <c r="X876" s="98"/>
      <c r="Y876" s="98"/>
      <c r="Z876" s="98"/>
      <c r="AA876" s="98"/>
      <c r="AB876" s="98"/>
      <c r="AC876" s="98"/>
    </row>
    <row r="877">
      <c r="A877" s="98"/>
      <c r="B877" s="98"/>
      <c r="C877" s="98"/>
      <c r="D877" s="98"/>
      <c r="E877" s="121"/>
      <c r="F877" s="98"/>
      <c r="G877" s="98"/>
      <c r="H877" s="98"/>
      <c r="I877" s="98"/>
      <c r="J877" s="98"/>
      <c r="K877" s="98"/>
      <c r="L877" s="98"/>
      <c r="M877" s="98"/>
      <c r="N877" s="98"/>
      <c r="O877" s="98"/>
      <c r="P877" s="98"/>
      <c r="Q877" s="98"/>
      <c r="R877" s="98"/>
      <c r="S877" s="98"/>
      <c r="T877" s="98"/>
      <c r="U877" s="98"/>
      <c r="V877" s="98"/>
      <c r="W877" s="98"/>
      <c r="X877" s="98"/>
      <c r="Y877" s="98"/>
      <c r="Z877" s="98"/>
      <c r="AA877" s="98"/>
      <c r="AB877" s="98"/>
      <c r="AC877" s="98"/>
    </row>
    <row r="878">
      <c r="A878" s="98"/>
      <c r="B878" s="98"/>
      <c r="C878" s="98"/>
      <c r="D878" s="98"/>
      <c r="E878" s="121"/>
      <c r="F878" s="98"/>
      <c r="G878" s="98"/>
      <c r="H878" s="98"/>
      <c r="I878" s="98"/>
      <c r="J878" s="98"/>
      <c r="K878" s="98"/>
      <c r="L878" s="98"/>
      <c r="M878" s="98"/>
      <c r="N878" s="98"/>
      <c r="O878" s="98"/>
      <c r="P878" s="98"/>
      <c r="Q878" s="98"/>
      <c r="R878" s="98"/>
      <c r="S878" s="98"/>
      <c r="T878" s="98"/>
      <c r="U878" s="98"/>
      <c r="V878" s="98"/>
      <c r="W878" s="98"/>
      <c r="X878" s="98"/>
      <c r="Y878" s="98"/>
      <c r="Z878" s="98"/>
      <c r="AA878" s="98"/>
      <c r="AB878" s="98"/>
      <c r="AC878" s="98"/>
    </row>
    <row r="879">
      <c r="A879" s="98"/>
      <c r="B879" s="98"/>
      <c r="C879" s="98"/>
      <c r="D879" s="98"/>
      <c r="E879" s="121"/>
      <c r="F879" s="98"/>
      <c r="G879" s="98"/>
      <c r="H879" s="98"/>
      <c r="I879" s="98"/>
      <c r="J879" s="98"/>
      <c r="K879" s="98"/>
      <c r="L879" s="98"/>
      <c r="M879" s="98"/>
      <c r="N879" s="98"/>
      <c r="O879" s="98"/>
      <c r="P879" s="98"/>
      <c r="Q879" s="98"/>
      <c r="R879" s="98"/>
      <c r="S879" s="98"/>
      <c r="T879" s="98"/>
      <c r="U879" s="98"/>
      <c r="V879" s="98"/>
      <c r="W879" s="98"/>
      <c r="X879" s="98"/>
      <c r="Y879" s="98"/>
      <c r="Z879" s="98"/>
      <c r="AA879" s="98"/>
      <c r="AB879" s="98"/>
      <c r="AC879" s="98"/>
    </row>
    <row r="880">
      <c r="A880" s="98"/>
      <c r="B880" s="98"/>
      <c r="C880" s="98"/>
      <c r="D880" s="98"/>
      <c r="E880" s="121"/>
      <c r="F880" s="98"/>
      <c r="G880" s="98"/>
      <c r="H880" s="98"/>
      <c r="I880" s="98"/>
      <c r="J880" s="98"/>
      <c r="K880" s="98"/>
      <c r="L880" s="98"/>
      <c r="M880" s="98"/>
      <c r="N880" s="98"/>
      <c r="O880" s="98"/>
      <c r="P880" s="98"/>
      <c r="Q880" s="98"/>
      <c r="R880" s="98"/>
      <c r="S880" s="98"/>
      <c r="T880" s="98"/>
      <c r="U880" s="98"/>
      <c r="V880" s="98"/>
      <c r="W880" s="98"/>
      <c r="X880" s="98"/>
      <c r="Y880" s="98"/>
      <c r="Z880" s="98"/>
      <c r="AA880" s="98"/>
      <c r="AB880" s="98"/>
      <c r="AC880" s="98"/>
    </row>
    <row r="881">
      <c r="A881" s="98"/>
      <c r="B881" s="98"/>
      <c r="C881" s="98"/>
      <c r="D881" s="98"/>
      <c r="E881" s="121"/>
      <c r="F881" s="98"/>
      <c r="G881" s="98"/>
      <c r="H881" s="98"/>
      <c r="I881" s="98"/>
      <c r="J881" s="98"/>
      <c r="K881" s="98"/>
      <c r="L881" s="98"/>
      <c r="M881" s="98"/>
      <c r="N881" s="98"/>
      <c r="O881" s="98"/>
      <c r="P881" s="98"/>
      <c r="Q881" s="98"/>
      <c r="R881" s="98"/>
      <c r="S881" s="98"/>
      <c r="T881" s="98"/>
      <c r="U881" s="98"/>
      <c r="V881" s="98"/>
      <c r="W881" s="98"/>
      <c r="X881" s="98"/>
      <c r="Y881" s="98"/>
      <c r="Z881" s="98"/>
      <c r="AA881" s="98"/>
      <c r="AB881" s="98"/>
      <c r="AC881" s="98"/>
    </row>
    <row r="882">
      <c r="A882" s="98"/>
      <c r="B882" s="98"/>
      <c r="C882" s="98"/>
      <c r="D882" s="98"/>
      <c r="E882" s="121"/>
      <c r="F882" s="98"/>
      <c r="G882" s="98"/>
      <c r="H882" s="98"/>
      <c r="I882" s="98"/>
      <c r="J882" s="98"/>
      <c r="K882" s="98"/>
      <c r="L882" s="98"/>
      <c r="M882" s="98"/>
      <c r="N882" s="98"/>
      <c r="O882" s="98"/>
      <c r="P882" s="98"/>
      <c r="Q882" s="98"/>
      <c r="R882" s="98"/>
      <c r="S882" s="98"/>
      <c r="T882" s="98"/>
      <c r="U882" s="98"/>
      <c r="V882" s="98"/>
      <c r="W882" s="98"/>
      <c r="X882" s="98"/>
      <c r="Y882" s="98"/>
      <c r="Z882" s="98"/>
      <c r="AA882" s="98"/>
      <c r="AB882" s="98"/>
      <c r="AC882" s="98"/>
    </row>
    <row r="883">
      <c r="A883" s="98"/>
      <c r="B883" s="98"/>
      <c r="C883" s="98"/>
      <c r="D883" s="98"/>
      <c r="E883" s="121"/>
      <c r="F883" s="98"/>
      <c r="G883" s="98"/>
      <c r="H883" s="98"/>
      <c r="I883" s="98"/>
      <c r="J883" s="98"/>
      <c r="K883" s="98"/>
      <c r="L883" s="98"/>
      <c r="M883" s="98"/>
      <c r="N883" s="98"/>
      <c r="O883" s="98"/>
      <c r="P883" s="98"/>
      <c r="Q883" s="98"/>
      <c r="R883" s="98"/>
      <c r="S883" s="98"/>
      <c r="T883" s="98"/>
      <c r="U883" s="98"/>
      <c r="V883" s="98"/>
      <c r="W883" s="98"/>
      <c r="X883" s="98"/>
      <c r="Y883" s="98"/>
      <c r="Z883" s="98"/>
      <c r="AA883" s="98"/>
      <c r="AB883" s="98"/>
      <c r="AC883" s="98"/>
    </row>
    <row r="884">
      <c r="A884" s="98"/>
      <c r="B884" s="98"/>
      <c r="C884" s="98"/>
      <c r="D884" s="98"/>
      <c r="E884" s="121"/>
      <c r="F884" s="98"/>
      <c r="G884" s="98"/>
      <c r="H884" s="98"/>
      <c r="I884" s="98"/>
      <c r="J884" s="98"/>
      <c r="K884" s="98"/>
      <c r="L884" s="98"/>
      <c r="M884" s="98"/>
      <c r="N884" s="98"/>
      <c r="O884" s="98"/>
      <c r="P884" s="98"/>
      <c r="Q884" s="98"/>
      <c r="R884" s="98"/>
      <c r="S884" s="98"/>
      <c r="T884" s="98"/>
      <c r="U884" s="98"/>
      <c r="V884" s="98"/>
      <c r="W884" s="98"/>
      <c r="X884" s="98"/>
      <c r="Y884" s="98"/>
      <c r="Z884" s="98"/>
      <c r="AA884" s="98"/>
      <c r="AB884" s="98"/>
      <c r="AC884" s="98"/>
    </row>
    <row r="885">
      <c r="A885" s="98"/>
      <c r="B885" s="98"/>
      <c r="C885" s="98"/>
      <c r="D885" s="98"/>
      <c r="E885" s="121"/>
      <c r="F885" s="98"/>
      <c r="G885" s="98"/>
      <c r="H885" s="98"/>
      <c r="I885" s="98"/>
      <c r="J885" s="98"/>
      <c r="K885" s="98"/>
      <c r="L885" s="98"/>
      <c r="M885" s="98"/>
      <c r="N885" s="98"/>
      <c r="O885" s="98"/>
      <c r="P885" s="98"/>
      <c r="Q885" s="98"/>
      <c r="R885" s="98"/>
      <c r="S885" s="98"/>
      <c r="T885" s="98"/>
      <c r="U885" s="98"/>
      <c r="V885" s="98"/>
      <c r="W885" s="98"/>
      <c r="X885" s="98"/>
      <c r="Y885" s="98"/>
      <c r="Z885" s="98"/>
      <c r="AA885" s="98"/>
      <c r="AB885" s="98"/>
      <c r="AC885" s="98"/>
    </row>
    <row r="886">
      <c r="A886" s="98"/>
      <c r="B886" s="98"/>
      <c r="C886" s="98"/>
      <c r="D886" s="98"/>
      <c r="E886" s="121"/>
      <c r="F886" s="98"/>
      <c r="G886" s="98"/>
      <c r="H886" s="98"/>
      <c r="I886" s="98"/>
      <c r="J886" s="98"/>
      <c r="K886" s="98"/>
      <c r="L886" s="98"/>
      <c r="M886" s="98"/>
      <c r="N886" s="98"/>
      <c r="O886" s="98"/>
      <c r="P886" s="98"/>
      <c r="Q886" s="98"/>
      <c r="R886" s="98"/>
      <c r="S886" s="98"/>
      <c r="T886" s="98"/>
      <c r="U886" s="98"/>
      <c r="V886" s="98"/>
      <c r="W886" s="98"/>
      <c r="X886" s="98"/>
      <c r="Y886" s="98"/>
      <c r="Z886" s="98"/>
      <c r="AA886" s="98"/>
      <c r="AB886" s="98"/>
      <c r="AC886" s="98"/>
    </row>
    <row r="887">
      <c r="A887" s="98"/>
      <c r="B887" s="98"/>
      <c r="C887" s="98"/>
      <c r="D887" s="98"/>
      <c r="E887" s="121"/>
      <c r="F887" s="98"/>
      <c r="G887" s="98"/>
      <c r="H887" s="98"/>
      <c r="I887" s="98"/>
      <c r="J887" s="98"/>
      <c r="K887" s="98"/>
      <c r="L887" s="98"/>
      <c r="M887" s="98"/>
      <c r="N887" s="98"/>
      <c r="O887" s="98"/>
      <c r="P887" s="98"/>
      <c r="Q887" s="98"/>
      <c r="R887" s="98"/>
      <c r="S887" s="98"/>
      <c r="T887" s="98"/>
      <c r="U887" s="98"/>
      <c r="V887" s="98"/>
      <c r="W887" s="98"/>
      <c r="X887" s="98"/>
      <c r="Y887" s="98"/>
      <c r="Z887" s="98"/>
      <c r="AA887" s="98"/>
      <c r="AB887" s="98"/>
      <c r="AC887" s="98"/>
    </row>
    <row r="888">
      <c r="A888" s="98"/>
      <c r="B888" s="98"/>
      <c r="C888" s="98"/>
      <c r="D888" s="98"/>
      <c r="E888" s="121"/>
      <c r="F888" s="98"/>
      <c r="G888" s="98"/>
      <c r="H888" s="98"/>
      <c r="I888" s="98"/>
      <c r="J888" s="98"/>
      <c r="K888" s="98"/>
      <c r="L888" s="98"/>
      <c r="M888" s="98"/>
      <c r="N888" s="98"/>
      <c r="O888" s="98"/>
      <c r="P888" s="98"/>
      <c r="Q888" s="98"/>
      <c r="R888" s="98"/>
      <c r="S888" s="98"/>
      <c r="T888" s="98"/>
      <c r="U888" s="98"/>
      <c r="V888" s="98"/>
      <c r="W888" s="98"/>
      <c r="X888" s="98"/>
      <c r="Y888" s="98"/>
      <c r="Z888" s="98"/>
      <c r="AA888" s="98"/>
      <c r="AB888" s="98"/>
      <c r="AC888" s="98"/>
    </row>
    <row r="889">
      <c r="A889" s="98"/>
      <c r="B889" s="98"/>
      <c r="C889" s="98"/>
      <c r="D889" s="98"/>
      <c r="E889" s="121"/>
      <c r="F889" s="98"/>
      <c r="G889" s="98"/>
      <c r="H889" s="98"/>
      <c r="I889" s="98"/>
      <c r="J889" s="98"/>
      <c r="K889" s="98"/>
      <c r="L889" s="98"/>
      <c r="M889" s="98"/>
      <c r="N889" s="98"/>
      <c r="O889" s="98"/>
      <c r="P889" s="98"/>
      <c r="Q889" s="98"/>
      <c r="R889" s="98"/>
      <c r="S889" s="98"/>
      <c r="T889" s="98"/>
      <c r="U889" s="98"/>
      <c r="V889" s="98"/>
      <c r="W889" s="98"/>
      <c r="X889" s="98"/>
      <c r="Y889" s="98"/>
      <c r="Z889" s="98"/>
      <c r="AA889" s="98"/>
      <c r="AB889" s="98"/>
      <c r="AC889" s="98"/>
    </row>
    <row r="890">
      <c r="A890" s="98"/>
      <c r="B890" s="98"/>
      <c r="C890" s="98"/>
      <c r="D890" s="98"/>
      <c r="E890" s="121"/>
      <c r="F890" s="98"/>
      <c r="G890" s="98"/>
      <c r="H890" s="98"/>
      <c r="I890" s="98"/>
      <c r="J890" s="98"/>
      <c r="K890" s="98"/>
      <c r="L890" s="98"/>
      <c r="M890" s="98"/>
      <c r="N890" s="98"/>
      <c r="O890" s="98"/>
      <c r="P890" s="98"/>
      <c r="Q890" s="98"/>
      <c r="R890" s="98"/>
      <c r="S890" s="98"/>
      <c r="T890" s="98"/>
      <c r="U890" s="98"/>
      <c r="V890" s="98"/>
      <c r="W890" s="98"/>
      <c r="X890" s="98"/>
      <c r="Y890" s="98"/>
      <c r="Z890" s="98"/>
      <c r="AA890" s="98"/>
      <c r="AB890" s="98"/>
      <c r="AC890" s="98"/>
    </row>
    <row r="891">
      <c r="A891" s="98"/>
      <c r="B891" s="98"/>
      <c r="C891" s="98"/>
      <c r="D891" s="98"/>
      <c r="E891" s="121"/>
      <c r="F891" s="98"/>
      <c r="G891" s="98"/>
      <c r="H891" s="98"/>
      <c r="I891" s="98"/>
      <c r="J891" s="98"/>
      <c r="K891" s="98"/>
      <c r="L891" s="98"/>
      <c r="M891" s="98"/>
      <c r="N891" s="98"/>
      <c r="O891" s="98"/>
      <c r="P891" s="98"/>
      <c r="Q891" s="98"/>
      <c r="R891" s="98"/>
      <c r="S891" s="98"/>
      <c r="T891" s="98"/>
      <c r="U891" s="98"/>
      <c r="V891" s="98"/>
      <c r="W891" s="98"/>
      <c r="X891" s="98"/>
      <c r="Y891" s="98"/>
      <c r="Z891" s="98"/>
      <c r="AA891" s="98"/>
      <c r="AB891" s="98"/>
      <c r="AC891" s="98"/>
    </row>
    <row r="892">
      <c r="A892" s="98"/>
      <c r="B892" s="98"/>
      <c r="C892" s="98"/>
      <c r="D892" s="98"/>
      <c r="E892" s="121"/>
      <c r="F892" s="98"/>
      <c r="G892" s="98"/>
      <c r="H892" s="98"/>
      <c r="I892" s="98"/>
      <c r="J892" s="98"/>
      <c r="K892" s="98"/>
      <c r="L892" s="98"/>
      <c r="M892" s="98"/>
      <c r="N892" s="98"/>
      <c r="O892" s="98"/>
      <c r="P892" s="98"/>
      <c r="Q892" s="98"/>
      <c r="R892" s="98"/>
      <c r="S892" s="98"/>
      <c r="T892" s="98"/>
      <c r="U892" s="98"/>
      <c r="V892" s="98"/>
      <c r="W892" s="98"/>
      <c r="X892" s="98"/>
      <c r="Y892" s="98"/>
      <c r="Z892" s="98"/>
      <c r="AA892" s="98"/>
      <c r="AB892" s="98"/>
      <c r="AC892" s="98"/>
    </row>
    <row r="893">
      <c r="A893" s="98"/>
      <c r="B893" s="98"/>
      <c r="C893" s="98"/>
      <c r="D893" s="98"/>
      <c r="E893" s="121"/>
      <c r="F893" s="98"/>
      <c r="G893" s="98"/>
      <c r="H893" s="98"/>
      <c r="I893" s="98"/>
      <c r="J893" s="98"/>
      <c r="K893" s="98"/>
      <c r="L893" s="98"/>
      <c r="M893" s="98"/>
      <c r="N893" s="98"/>
      <c r="O893" s="98"/>
      <c r="P893" s="98"/>
      <c r="Q893" s="98"/>
      <c r="R893" s="98"/>
      <c r="S893" s="98"/>
      <c r="T893" s="98"/>
      <c r="U893" s="98"/>
      <c r="V893" s="98"/>
      <c r="W893" s="98"/>
      <c r="X893" s="98"/>
      <c r="Y893" s="98"/>
      <c r="Z893" s="98"/>
      <c r="AA893" s="98"/>
      <c r="AB893" s="98"/>
      <c r="AC893" s="98"/>
    </row>
    <row r="894">
      <c r="A894" s="98"/>
      <c r="B894" s="98"/>
      <c r="C894" s="98"/>
      <c r="D894" s="98"/>
      <c r="E894" s="121"/>
      <c r="F894" s="98"/>
      <c r="G894" s="98"/>
      <c r="H894" s="98"/>
      <c r="I894" s="98"/>
      <c r="J894" s="98"/>
      <c r="K894" s="98"/>
      <c r="L894" s="98"/>
      <c r="M894" s="98"/>
      <c r="N894" s="98"/>
      <c r="O894" s="98"/>
      <c r="P894" s="98"/>
      <c r="Q894" s="98"/>
      <c r="R894" s="98"/>
      <c r="S894" s="98"/>
      <c r="T894" s="98"/>
      <c r="U894" s="98"/>
      <c r="V894" s="98"/>
      <c r="W894" s="98"/>
      <c r="X894" s="98"/>
      <c r="Y894" s="98"/>
      <c r="Z894" s="98"/>
      <c r="AA894" s="98"/>
      <c r="AB894" s="98"/>
      <c r="AC894" s="98"/>
    </row>
    <row r="895">
      <c r="A895" s="98"/>
      <c r="B895" s="98"/>
      <c r="C895" s="98"/>
      <c r="D895" s="98"/>
      <c r="E895" s="121"/>
      <c r="F895" s="98"/>
      <c r="G895" s="98"/>
      <c r="H895" s="98"/>
      <c r="I895" s="98"/>
      <c r="J895" s="98"/>
      <c r="K895" s="98"/>
      <c r="L895" s="98"/>
      <c r="M895" s="98"/>
      <c r="N895" s="98"/>
      <c r="O895" s="98"/>
      <c r="P895" s="98"/>
      <c r="Q895" s="98"/>
      <c r="R895" s="98"/>
      <c r="S895" s="98"/>
      <c r="T895" s="98"/>
      <c r="U895" s="98"/>
      <c r="V895" s="98"/>
      <c r="W895" s="98"/>
      <c r="X895" s="98"/>
      <c r="Y895" s="98"/>
      <c r="Z895" s="98"/>
      <c r="AA895" s="98"/>
      <c r="AB895" s="98"/>
      <c r="AC895" s="98"/>
    </row>
    <row r="896">
      <c r="A896" s="98"/>
      <c r="B896" s="98"/>
      <c r="C896" s="98"/>
      <c r="D896" s="98"/>
      <c r="E896" s="121"/>
      <c r="F896" s="98"/>
      <c r="G896" s="98"/>
      <c r="H896" s="98"/>
      <c r="I896" s="98"/>
      <c r="J896" s="98"/>
      <c r="K896" s="98"/>
      <c r="L896" s="98"/>
      <c r="M896" s="98"/>
      <c r="N896" s="98"/>
      <c r="O896" s="98"/>
      <c r="P896" s="98"/>
      <c r="Q896" s="98"/>
      <c r="R896" s="98"/>
      <c r="S896" s="98"/>
      <c r="T896" s="98"/>
      <c r="U896" s="98"/>
      <c r="V896" s="98"/>
      <c r="W896" s="98"/>
      <c r="X896" s="98"/>
      <c r="Y896" s="98"/>
      <c r="Z896" s="98"/>
      <c r="AA896" s="98"/>
      <c r="AB896" s="98"/>
      <c r="AC896" s="98"/>
    </row>
    <row r="897">
      <c r="A897" s="98"/>
      <c r="B897" s="98"/>
      <c r="C897" s="98"/>
      <c r="D897" s="98"/>
      <c r="E897" s="121"/>
      <c r="F897" s="98"/>
      <c r="G897" s="98"/>
      <c r="H897" s="98"/>
      <c r="I897" s="98"/>
      <c r="J897" s="98"/>
      <c r="K897" s="98"/>
      <c r="L897" s="98"/>
      <c r="M897" s="98"/>
      <c r="N897" s="98"/>
      <c r="O897" s="98"/>
      <c r="P897" s="98"/>
      <c r="Q897" s="98"/>
      <c r="R897" s="98"/>
      <c r="S897" s="98"/>
      <c r="T897" s="98"/>
      <c r="U897" s="98"/>
      <c r="V897" s="98"/>
      <c r="W897" s="98"/>
      <c r="X897" s="98"/>
      <c r="Y897" s="98"/>
      <c r="Z897" s="98"/>
      <c r="AA897" s="98"/>
      <c r="AB897" s="98"/>
      <c r="AC897" s="98"/>
    </row>
    <row r="898">
      <c r="A898" s="98"/>
      <c r="B898" s="98"/>
      <c r="C898" s="98"/>
      <c r="D898" s="98"/>
      <c r="E898" s="121"/>
      <c r="F898" s="98"/>
      <c r="G898" s="98"/>
      <c r="H898" s="98"/>
      <c r="I898" s="98"/>
      <c r="J898" s="98"/>
      <c r="K898" s="98"/>
      <c r="L898" s="98"/>
      <c r="M898" s="98"/>
      <c r="N898" s="98"/>
      <c r="O898" s="98"/>
      <c r="P898" s="98"/>
      <c r="Q898" s="98"/>
      <c r="R898" s="98"/>
      <c r="S898" s="98"/>
      <c r="T898" s="98"/>
      <c r="U898" s="98"/>
      <c r="V898" s="98"/>
      <c r="W898" s="98"/>
      <c r="X898" s="98"/>
      <c r="Y898" s="98"/>
      <c r="Z898" s="98"/>
      <c r="AA898" s="98"/>
      <c r="AB898" s="98"/>
      <c r="AC898" s="98"/>
    </row>
    <row r="899">
      <c r="A899" s="98"/>
      <c r="B899" s="98"/>
      <c r="C899" s="98"/>
      <c r="D899" s="98"/>
      <c r="E899" s="121"/>
      <c r="F899" s="98"/>
      <c r="G899" s="98"/>
      <c r="H899" s="98"/>
      <c r="I899" s="98"/>
      <c r="J899" s="98"/>
      <c r="K899" s="98"/>
      <c r="L899" s="98"/>
      <c r="M899" s="98"/>
      <c r="N899" s="98"/>
      <c r="O899" s="98"/>
      <c r="P899" s="98"/>
      <c r="Q899" s="98"/>
      <c r="R899" s="98"/>
      <c r="S899" s="98"/>
      <c r="T899" s="98"/>
      <c r="U899" s="98"/>
      <c r="V899" s="98"/>
      <c r="W899" s="98"/>
      <c r="X899" s="98"/>
      <c r="Y899" s="98"/>
      <c r="Z899" s="98"/>
      <c r="AA899" s="98"/>
      <c r="AB899" s="98"/>
      <c r="AC899" s="98"/>
    </row>
    <row r="900">
      <c r="A900" s="98"/>
      <c r="B900" s="98"/>
      <c r="C900" s="98"/>
      <c r="D900" s="98"/>
      <c r="E900" s="121"/>
      <c r="F900" s="98"/>
      <c r="G900" s="98"/>
      <c r="H900" s="98"/>
      <c r="I900" s="98"/>
      <c r="J900" s="98"/>
      <c r="K900" s="98"/>
      <c r="L900" s="98"/>
      <c r="M900" s="98"/>
      <c r="N900" s="98"/>
      <c r="O900" s="98"/>
      <c r="P900" s="98"/>
      <c r="Q900" s="98"/>
      <c r="R900" s="98"/>
      <c r="S900" s="98"/>
      <c r="T900" s="98"/>
      <c r="U900" s="98"/>
      <c r="V900" s="98"/>
      <c r="W900" s="98"/>
      <c r="X900" s="98"/>
      <c r="Y900" s="98"/>
      <c r="Z900" s="98"/>
      <c r="AA900" s="98"/>
      <c r="AB900" s="98"/>
      <c r="AC900" s="98"/>
    </row>
    <row r="901">
      <c r="A901" s="98"/>
      <c r="B901" s="98"/>
      <c r="C901" s="98"/>
      <c r="D901" s="98"/>
      <c r="E901" s="121"/>
      <c r="F901" s="98"/>
      <c r="G901" s="98"/>
      <c r="H901" s="98"/>
      <c r="I901" s="98"/>
      <c r="J901" s="98"/>
      <c r="K901" s="98"/>
      <c r="L901" s="98"/>
      <c r="M901" s="98"/>
      <c r="N901" s="98"/>
      <c r="O901" s="98"/>
      <c r="P901" s="98"/>
      <c r="Q901" s="98"/>
      <c r="R901" s="98"/>
      <c r="S901" s="98"/>
      <c r="T901" s="98"/>
      <c r="U901" s="98"/>
      <c r="V901" s="98"/>
      <c r="W901" s="98"/>
      <c r="X901" s="98"/>
      <c r="Y901" s="98"/>
      <c r="Z901" s="98"/>
      <c r="AA901" s="98"/>
      <c r="AB901" s="98"/>
      <c r="AC901" s="98"/>
    </row>
    <row r="902">
      <c r="A902" s="98"/>
      <c r="B902" s="98"/>
      <c r="C902" s="98"/>
      <c r="D902" s="98"/>
      <c r="E902" s="121"/>
      <c r="F902" s="98"/>
      <c r="G902" s="98"/>
      <c r="H902" s="98"/>
      <c r="I902" s="98"/>
      <c r="J902" s="98"/>
      <c r="K902" s="98"/>
      <c r="L902" s="98"/>
      <c r="M902" s="98"/>
      <c r="N902" s="98"/>
      <c r="O902" s="98"/>
      <c r="P902" s="98"/>
      <c r="Q902" s="98"/>
      <c r="R902" s="98"/>
      <c r="S902" s="98"/>
      <c r="T902" s="98"/>
      <c r="U902" s="98"/>
      <c r="V902" s="98"/>
      <c r="W902" s="98"/>
      <c r="X902" s="98"/>
      <c r="Y902" s="98"/>
      <c r="Z902" s="98"/>
      <c r="AA902" s="98"/>
      <c r="AB902" s="98"/>
      <c r="AC902" s="98"/>
    </row>
    <row r="903">
      <c r="A903" s="98"/>
      <c r="B903" s="98"/>
      <c r="C903" s="98"/>
      <c r="D903" s="98"/>
      <c r="E903" s="121"/>
      <c r="F903" s="98"/>
      <c r="G903" s="98"/>
      <c r="H903" s="98"/>
      <c r="I903" s="98"/>
      <c r="J903" s="98"/>
      <c r="K903" s="98"/>
      <c r="L903" s="98"/>
      <c r="M903" s="98"/>
      <c r="N903" s="98"/>
      <c r="O903" s="98"/>
      <c r="P903" s="98"/>
      <c r="Q903" s="98"/>
      <c r="R903" s="98"/>
      <c r="S903" s="98"/>
      <c r="T903" s="98"/>
      <c r="U903" s="98"/>
      <c r="V903" s="98"/>
      <c r="W903" s="98"/>
      <c r="X903" s="98"/>
      <c r="Y903" s="98"/>
      <c r="Z903" s="98"/>
      <c r="AA903" s="98"/>
      <c r="AB903" s="98"/>
      <c r="AC903" s="98"/>
    </row>
    <row r="904">
      <c r="A904" s="98"/>
      <c r="B904" s="98"/>
      <c r="C904" s="98"/>
      <c r="D904" s="98"/>
      <c r="E904" s="121"/>
      <c r="F904" s="98"/>
      <c r="G904" s="98"/>
      <c r="H904" s="98"/>
      <c r="I904" s="98"/>
      <c r="J904" s="98"/>
      <c r="K904" s="98"/>
      <c r="L904" s="98"/>
      <c r="M904" s="98"/>
      <c r="N904" s="98"/>
      <c r="O904" s="98"/>
      <c r="P904" s="98"/>
      <c r="Q904" s="98"/>
      <c r="R904" s="98"/>
      <c r="S904" s="98"/>
      <c r="T904" s="98"/>
      <c r="U904" s="98"/>
      <c r="V904" s="98"/>
      <c r="W904" s="98"/>
      <c r="X904" s="98"/>
      <c r="Y904" s="98"/>
      <c r="Z904" s="98"/>
      <c r="AA904" s="98"/>
      <c r="AB904" s="98"/>
      <c r="AC904" s="98"/>
    </row>
    <row r="905">
      <c r="A905" s="98"/>
      <c r="B905" s="98"/>
      <c r="C905" s="98"/>
      <c r="D905" s="98"/>
      <c r="E905" s="121"/>
      <c r="F905" s="98"/>
      <c r="G905" s="98"/>
      <c r="H905" s="98"/>
      <c r="I905" s="98"/>
      <c r="J905" s="98"/>
      <c r="K905" s="98"/>
      <c r="L905" s="98"/>
      <c r="M905" s="98"/>
      <c r="N905" s="98"/>
      <c r="O905" s="98"/>
      <c r="P905" s="98"/>
      <c r="Q905" s="98"/>
      <c r="R905" s="98"/>
      <c r="S905" s="98"/>
      <c r="T905" s="98"/>
      <c r="U905" s="98"/>
      <c r="V905" s="98"/>
      <c r="W905" s="98"/>
      <c r="X905" s="98"/>
      <c r="Y905" s="98"/>
      <c r="Z905" s="98"/>
      <c r="AA905" s="98"/>
      <c r="AB905" s="98"/>
      <c r="AC905" s="98"/>
    </row>
    <row r="906">
      <c r="A906" s="98"/>
      <c r="B906" s="98"/>
      <c r="C906" s="98"/>
      <c r="D906" s="98"/>
      <c r="E906" s="121"/>
      <c r="F906" s="98"/>
      <c r="G906" s="98"/>
      <c r="H906" s="98"/>
      <c r="I906" s="98"/>
      <c r="J906" s="98"/>
      <c r="K906" s="98"/>
      <c r="L906" s="98"/>
      <c r="M906" s="98"/>
      <c r="N906" s="98"/>
      <c r="O906" s="98"/>
      <c r="P906" s="98"/>
      <c r="Q906" s="98"/>
      <c r="R906" s="98"/>
      <c r="S906" s="98"/>
      <c r="T906" s="98"/>
      <c r="U906" s="98"/>
      <c r="V906" s="98"/>
      <c r="W906" s="98"/>
      <c r="X906" s="98"/>
      <c r="Y906" s="98"/>
      <c r="Z906" s="98"/>
      <c r="AA906" s="98"/>
      <c r="AB906" s="98"/>
      <c r="AC906" s="98"/>
    </row>
    <row r="907">
      <c r="A907" s="98"/>
      <c r="B907" s="98"/>
      <c r="C907" s="98"/>
      <c r="D907" s="98"/>
      <c r="E907" s="121"/>
      <c r="F907" s="98"/>
      <c r="G907" s="98"/>
      <c r="H907" s="98"/>
      <c r="I907" s="98"/>
      <c r="J907" s="98"/>
      <c r="K907" s="98"/>
      <c r="L907" s="98"/>
      <c r="M907" s="98"/>
      <c r="N907" s="98"/>
      <c r="O907" s="98"/>
      <c r="P907" s="98"/>
      <c r="Q907" s="98"/>
      <c r="R907" s="98"/>
      <c r="S907" s="98"/>
      <c r="T907" s="98"/>
      <c r="U907" s="98"/>
      <c r="V907" s="98"/>
      <c r="W907" s="98"/>
      <c r="X907" s="98"/>
      <c r="Y907" s="98"/>
      <c r="Z907" s="98"/>
      <c r="AA907" s="98"/>
      <c r="AB907" s="98"/>
      <c r="AC907" s="98"/>
    </row>
    <row r="908">
      <c r="A908" s="98"/>
      <c r="B908" s="98"/>
      <c r="C908" s="98"/>
      <c r="D908" s="98"/>
      <c r="E908" s="121"/>
      <c r="F908" s="98"/>
      <c r="G908" s="98"/>
      <c r="H908" s="98"/>
      <c r="I908" s="98"/>
      <c r="J908" s="98"/>
      <c r="K908" s="98"/>
      <c r="L908" s="98"/>
      <c r="M908" s="98"/>
      <c r="N908" s="98"/>
      <c r="O908" s="98"/>
      <c r="P908" s="98"/>
      <c r="Q908" s="98"/>
      <c r="R908" s="98"/>
      <c r="S908" s="98"/>
      <c r="T908" s="98"/>
      <c r="U908" s="98"/>
      <c r="V908" s="98"/>
      <c r="W908" s="98"/>
      <c r="X908" s="98"/>
      <c r="Y908" s="98"/>
      <c r="Z908" s="98"/>
      <c r="AA908" s="98"/>
      <c r="AB908" s="98"/>
      <c r="AC908" s="98"/>
    </row>
    <row r="909">
      <c r="A909" s="98"/>
      <c r="B909" s="98"/>
      <c r="C909" s="98"/>
      <c r="D909" s="98"/>
      <c r="E909" s="121"/>
      <c r="F909" s="98"/>
      <c r="G909" s="98"/>
      <c r="H909" s="98"/>
      <c r="I909" s="98"/>
      <c r="J909" s="98"/>
      <c r="K909" s="98"/>
      <c r="L909" s="98"/>
      <c r="M909" s="98"/>
      <c r="N909" s="98"/>
      <c r="O909" s="98"/>
      <c r="P909" s="98"/>
      <c r="Q909" s="98"/>
      <c r="R909" s="98"/>
      <c r="S909" s="98"/>
      <c r="T909" s="98"/>
      <c r="U909" s="98"/>
      <c r="V909" s="98"/>
      <c r="W909" s="98"/>
      <c r="X909" s="98"/>
      <c r="Y909" s="98"/>
      <c r="Z909" s="98"/>
      <c r="AA909" s="98"/>
      <c r="AB909" s="98"/>
      <c r="AC909" s="98"/>
    </row>
    <row r="910">
      <c r="A910" s="98"/>
      <c r="B910" s="98"/>
      <c r="C910" s="98"/>
      <c r="D910" s="98"/>
      <c r="E910" s="121"/>
      <c r="F910" s="98"/>
      <c r="G910" s="98"/>
      <c r="H910" s="98"/>
      <c r="I910" s="98"/>
      <c r="J910" s="98"/>
      <c r="K910" s="98"/>
      <c r="L910" s="98"/>
      <c r="M910" s="98"/>
      <c r="N910" s="98"/>
      <c r="O910" s="98"/>
      <c r="P910" s="98"/>
      <c r="Q910" s="98"/>
      <c r="R910" s="98"/>
      <c r="S910" s="98"/>
      <c r="T910" s="98"/>
      <c r="U910" s="98"/>
      <c r="V910" s="98"/>
      <c r="W910" s="98"/>
      <c r="X910" s="98"/>
      <c r="Y910" s="98"/>
      <c r="Z910" s="98"/>
      <c r="AA910" s="98"/>
      <c r="AB910" s="98"/>
      <c r="AC910" s="98"/>
    </row>
    <row r="911">
      <c r="A911" s="98"/>
      <c r="B911" s="98"/>
      <c r="C911" s="98"/>
      <c r="D911" s="98"/>
      <c r="E911" s="121"/>
      <c r="F911" s="98"/>
      <c r="G911" s="98"/>
      <c r="H911" s="98"/>
      <c r="I911" s="98"/>
      <c r="J911" s="98"/>
      <c r="K911" s="98"/>
      <c r="L911" s="98"/>
      <c r="M911" s="98"/>
      <c r="N911" s="98"/>
      <c r="O911" s="98"/>
      <c r="P911" s="98"/>
      <c r="Q911" s="98"/>
      <c r="R911" s="98"/>
      <c r="S911" s="98"/>
      <c r="T911" s="98"/>
      <c r="U911" s="98"/>
      <c r="V911" s="98"/>
      <c r="W911" s="98"/>
      <c r="X911" s="98"/>
      <c r="Y911" s="98"/>
      <c r="Z911" s="98"/>
      <c r="AA911" s="98"/>
      <c r="AB911" s="98"/>
      <c r="AC911" s="98"/>
    </row>
    <row r="912">
      <c r="A912" s="98"/>
      <c r="B912" s="98"/>
      <c r="C912" s="98"/>
      <c r="D912" s="98"/>
      <c r="E912" s="121"/>
      <c r="F912" s="98"/>
      <c r="G912" s="98"/>
      <c r="H912" s="98"/>
      <c r="I912" s="98"/>
      <c r="J912" s="98"/>
      <c r="K912" s="98"/>
      <c r="L912" s="98"/>
      <c r="M912" s="98"/>
      <c r="N912" s="98"/>
      <c r="O912" s="98"/>
      <c r="P912" s="98"/>
      <c r="Q912" s="98"/>
      <c r="R912" s="98"/>
      <c r="S912" s="98"/>
      <c r="T912" s="98"/>
      <c r="U912" s="98"/>
      <c r="V912" s="98"/>
      <c r="W912" s="98"/>
      <c r="X912" s="98"/>
      <c r="Y912" s="98"/>
      <c r="Z912" s="98"/>
      <c r="AA912" s="98"/>
      <c r="AB912" s="98"/>
      <c r="AC912" s="98"/>
    </row>
    <row r="913">
      <c r="A913" s="98"/>
      <c r="B913" s="98"/>
      <c r="C913" s="98"/>
      <c r="D913" s="98"/>
      <c r="E913" s="121"/>
      <c r="F913" s="98"/>
      <c r="G913" s="98"/>
      <c r="H913" s="98"/>
      <c r="I913" s="98"/>
      <c r="J913" s="98"/>
      <c r="K913" s="98"/>
      <c r="L913" s="98"/>
      <c r="M913" s="98"/>
      <c r="N913" s="98"/>
      <c r="O913" s="98"/>
      <c r="P913" s="98"/>
      <c r="Q913" s="98"/>
      <c r="R913" s="98"/>
      <c r="S913" s="98"/>
      <c r="T913" s="98"/>
      <c r="U913" s="98"/>
      <c r="V913" s="98"/>
      <c r="W913" s="98"/>
      <c r="X913" s="98"/>
      <c r="Y913" s="98"/>
      <c r="Z913" s="98"/>
      <c r="AA913" s="98"/>
      <c r="AB913" s="98"/>
      <c r="AC913" s="98"/>
    </row>
    <row r="914">
      <c r="A914" s="98"/>
      <c r="B914" s="98"/>
      <c r="C914" s="98"/>
      <c r="D914" s="98"/>
      <c r="E914" s="121"/>
      <c r="F914" s="98"/>
      <c r="G914" s="98"/>
      <c r="H914" s="98"/>
      <c r="I914" s="98"/>
      <c r="J914" s="98"/>
      <c r="K914" s="98"/>
      <c r="L914" s="98"/>
      <c r="M914" s="98"/>
      <c r="N914" s="98"/>
      <c r="O914" s="98"/>
      <c r="P914" s="98"/>
      <c r="Q914" s="98"/>
      <c r="R914" s="98"/>
      <c r="S914" s="98"/>
      <c r="T914" s="98"/>
      <c r="U914" s="98"/>
      <c r="V914" s="98"/>
      <c r="W914" s="98"/>
      <c r="X914" s="98"/>
      <c r="Y914" s="98"/>
      <c r="Z914" s="98"/>
      <c r="AA914" s="98"/>
      <c r="AB914" s="98"/>
      <c r="AC914" s="98"/>
    </row>
    <row r="915">
      <c r="A915" s="98"/>
      <c r="B915" s="98"/>
      <c r="C915" s="98"/>
      <c r="D915" s="98"/>
      <c r="E915" s="121"/>
      <c r="F915" s="98"/>
      <c r="G915" s="98"/>
      <c r="H915" s="98"/>
      <c r="I915" s="98"/>
      <c r="J915" s="98"/>
      <c r="K915" s="98"/>
      <c r="L915" s="98"/>
      <c r="M915" s="98"/>
      <c r="N915" s="98"/>
      <c r="O915" s="98"/>
      <c r="P915" s="98"/>
      <c r="Q915" s="98"/>
      <c r="R915" s="98"/>
      <c r="S915" s="98"/>
      <c r="T915" s="98"/>
      <c r="U915" s="98"/>
      <c r="V915" s="98"/>
      <c r="W915" s="98"/>
      <c r="X915" s="98"/>
      <c r="Y915" s="98"/>
      <c r="Z915" s="98"/>
      <c r="AA915" s="98"/>
      <c r="AB915" s="98"/>
      <c r="AC915" s="98"/>
    </row>
    <row r="916">
      <c r="A916" s="98"/>
      <c r="B916" s="98"/>
      <c r="C916" s="98"/>
      <c r="D916" s="98"/>
      <c r="E916" s="121"/>
      <c r="F916" s="98"/>
      <c r="G916" s="98"/>
      <c r="H916" s="98"/>
      <c r="I916" s="98"/>
      <c r="J916" s="98"/>
      <c r="K916" s="98"/>
      <c r="L916" s="98"/>
      <c r="M916" s="98"/>
      <c r="N916" s="98"/>
      <c r="O916" s="98"/>
      <c r="P916" s="98"/>
      <c r="Q916" s="98"/>
      <c r="R916" s="98"/>
      <c r="S916" s="98"/>
      <c r="T916" s="98"/>
      <c r="U916" s="98"/>
      <c r="V916" s="98"/>
      <c r="W916" s="98"/>
      <c r="X916" s="98"/>
      <c r="Y916" s="98"/>
      <c r="Z916" s="98"/>
      <c r="AA916" s="98"/>
      <c r="AB916" s="98"/>
      <c r="AC916" s="98"/>
    </row>
    <row r="917">
      <c r="A917" s="98"/>
      <c r="B917" s="98"/>
      <c r="C917" s="98"/>
      <c r="D917" s="98"/>
      <c r="E917" s="121"/>
      <c r="F917" s="98"/>
      <c r="G917" s="98"/>
      <c r="H917" s="98"/>
      <c r="I917" s="98"/>
      <c r="J917" s="98"/>
      <c r="K917" s="98"/>
      <c r="L917" s="98"/>
      <c r="M917" s="98"/>
      <c r="N917" s="98"/>
      <c r="O917" s="98"/>
      <c r="P917" s="98"/>
      <c r="Q917" s="98"/>
      <c r="R917" s="98"/>
      <c r="S917" s="98"/>
      <c r="T917" s="98"/>
      <c r="U917" s="98"/>
      <c r="V917" s="98"/>
      <c r="W917" s="98"/>
      <c r="X917" s="98"/>
      <c r="Y917" s="98"/>
      <c r="Z917" s="98"/>
      <c r="AA917" s="98"/>
      <c r="AB917" s="98"/>
      <c r="AC917" s="98"/>
    </row>
    <row r="918">
      <c r="A918" s="98"/>
      <c r="B918" s="98"/>
      <c r="C918" s="98"/>
      <c r="D918" s="98"/>
      <c r="E918" s="121"/>
      <c r="F918" s="98"/>
      <c r="G918" s="98"/>
      <c r="H918" s="98"/>
      <c r="I918" s="98"/>
      <c r="J918" s="98"/>
      <c r="K918" s="98"/>
      <c r="L918" s="98"/>
      <c r="M918" s="98"/>
      <c r="N918" s="98"/>
      <c r="O918" s="98"/>
      <c r="P918" s="98"/>
      <c r="Q918" s="98"/>
      <c r="R918" s="98"/>
      <c r="S918" s="98"/>
      <c r="T918" s="98"/>
      <c r="U918" s="98"/>
      <c r="V918" s="98"/>
      <c r="W918" s="98"/>
      <c r="X918" s="98"/>
      <c r="Y918" s="98"/>
      <c r="Z918" s="98"/>
      <c r="AA918" s="98"/>
      <c r="AB918" s="98"/>
      <c r="AC918" s="98"/>
    </row>
    <row r="919">
      <c r="A919" s="98"/>
      <c r="B919" s="98"/>
      <c r="C919" s="98"/>
      <c r="D919" s="98"/>
      <c r="E919" s="121"/>
      <c r="F919" s="98"/>
      <c r="G919" s="98"/>
      <c r="H919" s="98"/>
      <c r="I919" s="98"/>
      <c r="J919" s="98"/>
      <c r="K919" s="98"/>
      <c r="L919" s="98"/>
      <c r="M919" s="98"/>
      <c r="N919" s="98"/>
      <c r="O919" s="98"/>
      <c r="P919" s="98"/>
      <c r="Q919" s="98"/>
      <c r="R919" s="98"/>
      <c r="S919" s="98"/>
      <c r="T919" s="98"/>
      <c r="U919" s="98"/>
      <c r="V919" s="98"/>
      <c r="W919" s="98"/>
      <c r="X919" s="98"/>
      <c r="Y919" s="98"/>
      <c r="Z919" s="98"/>
      <c r="AA919" s="98"/>
      <c r="AB919" s="98"/>
      <c r="AC919" s="98"/>
    </row>
    <row r="920">
      <c r="A920" s="98"/>
      <c r="B920" s="98"/>
      <c r="C920" s="98"/>
      <c r="D920" s="98"/>
      <c r="E920" s="121"/>
      <c r="F920" s="98"/>
      <c r="G920" s="98"/>
      <c r="H920" s="98"/>
      <c r="I920" s="98"/>
      <c r="J920" s="98"/>
      <c r="K920" s="98"/>
      <c r="L920" s="98"/>
      <c r="M920" s="98"/>
      <c r="N920" s="98"/>
      <c r="O920" s="98"/>
      <c r="P920" s="98"/>
      <c r="Q920" s="98"/>
      <c r="R920" s="98"/>
      <c r="S920" s="98"/>
      <c r="T920" s="98"/>
      <c r="U920" s="98"/>
      <c r="V920" s="98"/>
      <c r="W920" s="98"/>
      <c r="X920" s="98"/>
      <c r="Y920" s="98"/>
      <c r="Z920" s="98"/>
      <c r="AA920" s="98"/>
      <c r="AB920" s="98"/>
      <c r="AC920" s="98"/>
    </row>
    <row r="921">
      <c r="A921" s="98"/>
      <c r="B921" s="98"/>
      <c r="C921" s="98"/>
      <c r="D921" s="98"/>
      <c r="E921" s="121"/>
      <c r="F921" s="98"/>
      <c r="G921" s="98"/>
      <c r="H921" s="98"/>
      <c r="I921" s="98"/>
      <c r="J921" s="98"/>
      <c r="K921" s="98"/>
      <c r="L921" s="98"/>
      <c r="M921" s="98"/>
      <c r="N921" s="98"/>
      <c r="O921" s="98"/>
      <c r="P921" s="98"/>
      <c r="Q921" s="98"/>
      <c r="R921" s="98"/>
      <c r="S921" s="98"/>
      <c r="T921" s="98"/>
      <c r="U921" s="98"/>
      <c r="V921" s="98"/>
      <c r="W921" s="98"/>
      <c r="X921" s="98"/>
      <c r="Y921" s="98"/>
      <c r="Z921" s="98"/>
      <c r="AA921" s="98"/>
      <c r="AB921" s="98"/>
      <c r="AC921" s="98"/>
    </row>
    <row r="922">
      <c r="A922" s="98"/>
      <c r="B922" s="98"/>
      <c r="C922" s="98"/>
      <c r="D922" s="98"/>
      <c r="E922" s="121"/>
      <c r="F922" s="98"/>
      <c r="G922" s="98"/>
      <c r="H922" s="98"/>
      <c r="I922" s="98"/>
      <c r="J922" s="98"/>
      <c r="K922" s="98"/>
      <c r="L922" s="98"/>
      <c r="M922" s="98"/>
      <c r="N922" s="98"/>
      <c r="O922" s="98"/>
      <c r="P922" s="98"/>
      <c r="Q922" s="98"/>
      <c r="R922" s="98"/>
      <c r="S922" s="98"/>
      <c r="T922" s="98"/>
      <c r="U922" s="98"/>
      <c r="V922" s="98"/>
      <c r="W922" s="98"/>
      <c r="X922" s="98"/>
      <c r="Y922" s="98"/>
      <c r="Z922" s="98"/>
      <c r="AA922" s="98"/>
      <c r="AB922" s="98"/>
      <c r="AC922" s="98"/>
    </row>
    <row r="923">
      <c r="A923" s="98"/>
      <c r="B923" s="98"/>
      <c r="C923" s="98"/>
      <c r="D923" s="98"/>
      <c r="E923" s="121"/>
      <c r="F923" s="98"/>
      <c r="G923" s="98"/>
      <c r="H923" s="98"/>
      <c r="I923" s="98"/>
      <c r="J923" s="98"/>
      <c r="K923" s="98"/>
      <c r="L923" s="98"/>
      <c r="M923" s="98"/>
      <c r="N923" s="98"/>
      <c r="O923" s="98"/>
      <c r="P923" s="98"/>
      <c r="Q923" s="98"/>
      <c r="R923" s="98"/>
      <c r="S923" s="98"/>
      <c r="T923" s="98"/>
      <c r="U923" s="98"/>
      <c r="V923" s="98"/>
      <c r="W923" s="98"/>
      <c r="X923" s="98"/>
      <c r="Y923" s="98"/>
      <c r="Z923" s="98"/>
      <c r="AA923" s="98"/>
      <c r="AB923" s="98"/>
      <c r="AC923" s="98"/>
    </row>
    <row r="924">
      <c r="A924" s="98"/>
      <c r="B924" s="98"/>
      <c r="C924" s="98"/>
      <c r="D924" s="98"/>
      <c r="E924" s="121"/>
      <c r="F924" s="98"/>
      <c r="G924" s="98"/>
      <c r="H924" s="98"/>
      <c r="I924" s="98"/>
      <c r="J924" s="98"/>
      <c r="K924" s="98"/>
      <c r="L924" s="98"/>
      <c r="M924" s="98"/>
      <c r="N924" s="98"/>
      <c r="O924" s="98"/>
      <c r="P924" s="98"/>
      <c r="Q924" s="98"/>
      <c r="R924" s="98"/>
      <c r="S924" s="98"/>
      <c r="T924" s="98"/>
      <c r="U924" s="98"/>
      <c r="V924" s="98"/>
      <c r="W924" s="98"/>
      <c r="X924" s="98"/>
      <c r="Y924" s="98"/>
      <c r="Z924" s="98"/>
      <c r="AA924" s="98"/>
      <c r="AB924" s="98"/>
      <c r="AC924" s="98"/>
    </row>
    <row r="925">
      <c r="A925" s="98"/>
      <c r="B925" s="98"/>
      <c r="C925" s="98"/>
      <c r="D925" s="98"/>
      <c r="E925" s="121"/>
      <c r="F925" s="98"/>
      <c r="G925" s="98"/>
      <c r="H925" s="98"/>
      <c r="I925" s="98"/>
      <c r="J925" s="98"/>
      <c r="K925" s="98"/>
      <c r="L925" s="98"/>
      <c r="M925" s="98"/>
      <c r="N925" s="98"/>
      <c r="O925" s="98"/>
      <c r="P925" s="98"/>
      <c r="Q925" s="98"/>
      <c r="R925" s="98"/>
      <c r="S925" s="98"/>
      <c r="T925" s="98"/>
      <c r="U925" s="98"/>
      <c r="V925" s="98"/>
      <c r="W925" s="98"/>
      <c r="X925" s="98"/>
      <c r="Y925" s="98"/>
      <c r="Z925" s="98"/>
      <c r="AA925" s="98"/>
      <c r="AB925" s="98"/>
      <c r="AC925" s="98"/>
    </row>
    <row r="926">
      <c r="A926" s="98"/>
      <c r="B926" s="98"/>
      <c r="C926" s="98"/>
      <c r="D926" s="98"/>
      <c r="E926" s="121"/>
      <c r="F926" s="98"/>
      <c r="G926" s="98"/>
      <c r="H926" s="98"/>
      <c r="I926" s="98"/>
      <c r="J926" s="98"/>
      <c r="K926" s="98"/>
      <c r="L926" s="98"/>
      <c r="M926" s="98"/>
      <c r="N926" s="98"/>
      <c r="O926" s="98"/>
      <c r="P926" s="98"/>
      <c r="Q926" s="98"/>
      <c r="R926" s="98"/>
      <c r="S926" s="98"/>
      <c r="T926" s="98"/>
      <c r="U926" s="98"/>
      <c r="V926" s="98"/>
      <c r="W926" s="98"/>
      <c r="X926" s="98"/>
      <c r="Y926" s="98"/>
      <c r="Z926" s="98"/>
      <c r="AA926" s="98"/>
      <c r="AB926" s="98"/>
      <c r="AC926" s="98"/>
    </row>
    <row r="927">
      <c r="A927" s="98"/>
      <c r="B927" s="98"/>
      <c r="C927" s="98"/>
      <c r="D927" s="98"/>
      <c r="E927" s="121"/>
      <c r="F927" s="98"/>
      <c r="G927" s="98"/>
      <c r="H927" s="98"/>
      <c r="I927" s="98"/>
      <c r="J927" s="98"/>
      <c r="K927" s="98"/>
      <c r="L927" s="98"/>
      <c r="M927" s="98"/>
      <c r="N927" s="98"/>
      <c r="O927" s="98"/>
      <c r="P927" s="98"/>
      <c r="Q927" s="98"/>
      <c r="R927" s="98"/>
      <c r="S927" s="98"/>
      <c r="T927" s="98"/>
      <c r="U927" s="98"/>
      <c r="V927" s="98"/>
      <c r="W927" s="98"/>
      <c r="X927" s="98"/>
      <c r="Y927" s="98"/>
      <c r="Z927" s="98"/>
      <c r="AA927" s="98"/>
      <c r="AB927" s="98"/>
      <c r="AC927" s="98"/>
    </row>
    <row r="928">
      <c r="A928" s="98"/>
      <c r="B928" s="98"/>
      <c r="C928" s="98"/>
      <c r="D928" s="98"/>
      <c r="E928" s="121"/>
      <c r="F928" s="98"/>
      <c r="G928" s="98"/>
      <c r="H928" s="98"/>
      <c r="I928" s="98"/>
      <c r="J928" s="98"/>
      <c r="K928" s="98"/>
      <c r="L928" s="98"/>
      <c r="M928" s="98"/>
      <c r="N928" s="98"/>
      <c r="O928" s="98"/>
      <c r="P928" s="98"/>
      <c r="Q928" s="98"/>
      <c r="R928" s="98"/>
      <c r="S928" s="98"/>
      <c r="T928" s="98"/>
      <c r="U928" s="98"/>
      <c r="V928" s="98"/>
      <c r="W928" s="98"/>
      <c r="X928" s="98"/>
      <c r="Y928" s="98"/>
      <c r="Z928" s="98"/>
      <c r="AA928" s="98"/>
      <c r="AB928" s="98"/>
      <c r="AC928" s="98"/>
    </row>
    <row r="929">
      <c r="A929" s="98"/>
      <c r="B929" s="98"/>
      <c r="C929" s="98"/>
      <c r="D929" s="98"/>
      <c r="E929" s="121"/>
      <c r="F929" s="98"/>
      <c r="G929" s="98"/>
      <c r="H929" s="98"/>
      <c r="I929" s="98"/>
      <c r="J929" s="98"/>
      <c r="K929" s="98"/>
      <c r="L929" s="98"/>
      <c r="M929" s="98"/>
      <c r="N929" s="98"/>
      <c r="O929" s="98"/>
      <c r="P929" s="98"/>
      <c r="Q929" s="98"/>
      <c r="R929" s="98"/>
      <c r="S929" s="98"/>
      <c r="T929" s="98"/>
      <c r="U929" s="98"/>
      <c r="V929" s="98"/>
      <c r="W929" s="98"/>
      <c r="X929" s="98"/>
      <c r="Y929" s="98"/>
      <c r="Z929" s="98"/>
      <c r="AA929" s="98"/>
      <c r="AB929" s="98"/>
      <c r="AC929" s="98"/>
    </row>
    <row r="930">
      <c r="A930" s="98"/>
      <c r="B930" s="98"/>
      <c r="C930" s="98"/>
      <c r="D930" s="98"/>
      <c r="E930" s="121"/>
      <c r="F930" s="98"/>
      <c r="G930" s="98"/>
      <c r="H930" s="98"/>
      <c r="I930" s="98"/>
      <c r="J930" s="98"/>
      <c r="K930" s="98"/>
      <c r="L930" s="98"/>
      <c r="M930" s="98"/>
      <c r="N930" s="98"/>
      <c r="O930" s="98"/>
      <c r="P930" s="98"/>
      <c r="Q930" s="98"/>
      <c r="R930" s="98"/>
      <c r="S930" s="98"/>
      <c r="T930" s="98"/>
      <c r="U930" s="98"/>
      <c r="V930" s="98"/>
      <c r="W930" s="98"/>
      <c r="X930" s="98"/>
      <c r="Y930" s="98"/>
      <c r="Z930" s="98"/>
      <c r="AA930" s="98"/>
      <c r="AB930" s="98"/>
      <c r="AC930" s="98"/>
    </row>
    <row r="931">
      <c r="A931" s="98"/>
      <c r="B931" s="98"/>
      <c r="C931" s="98"/>
      <c r="D931" s="98"/>
      <c r="E931" s="121"/>
      <c r="F931" s="98"/>
      <c r="G931" s="98"/>
      <c r="H931" s="98"/>
      <c r="I931" s="98"/>
      <c r="J931" s="98"/>
      <c r="K931" s="98"/>
      <c r="L931" s="98"/>
      <c r="M931" s="98"/>
      <c r="N931" s="98"/>
      <c r="O931" s="98"/>
      <c r="P931" s="98"/>
      <c r="Q931" s="98"/>
      <c r="R931" s="98"/>
      <c r="S931" s="98"/>
      <c r="T931" s="98"/>
      <c r="U931" s="98"/>
      <c r="V931" s="98"/>
      <c r="W931" s="98"/>
      <c r="X931" s="98"/>
      <c r="Y931" s="98"/>
      <c r="Z931" s="98"/>
      <c r="AA931" s="98"/>
      <c r="AB931" s="98"/>
      <c r="AC931" s="98"/>
    </row>
    <row r="932">
      <c r="A932" s="98"/>
      <c r="B932" s="98"/>
      <c r="C932" s="98"/>
      <c r="D932" s="98"/>
      <c r="E932" s="121"/>
      <c r="F932" s="98"/>
      <c r="G932" s="98"/>
      <c r="H932" s="98"/>
      <c r="I932" s="98"/>
      <c r="J932" s="98"/>
      <c r="K932" s="98"/>
      <c r="L932" s="98"/>
      <c r="M932" s="98"/>
      <c r="N932" s="98"/>
      <c r="O932" s="98"/>
      <c r="P932" s="98"/>
      <c r="Q932" s="98"/>
      <c r="R932" s="98"/>
      <c r="S932" s="98"/>
      <c r="T932" s="98"/>
      <c r="U932" s="98"/>
      <c r="V932" s="98"/>
      <c r="W932" s="98"/>
      <c r="X932" s="98"/>
      <c r="Y932" s="98"/>
      <c r="Z932" s="98"/>
      <c r="AA932" s="98"/>
      <c r="AB932" s="98"/>
      <c r="AC932" s="98"/>
    </row>
    <row r="933">
      <c r="A933" s="98"/>
      <c r="B933" s="98"/>
      <c r="C933" s="98"/>
      <c r="D933" s="98"/>
      <c r="E933" s="121"/>
      <c r="F933" s="98"/>
      <c r="G933" s="98"/>
      <c r="H933" s="98"/>
      <c r="I933" s="98"/>
      <c r="J933" s="98"/>
      <c r="K933" s="98"/>
      <c r="L933" s="98"/>
      <c r="M933" s="98"/>
      <c r="N933" s="98"/>
      <c r="O933" s="98"/>
      <c r="P933" s="98"/>
      <c r="Q933" s="98"/>
      <c r="R933" s="98"/>
      <c r="S933" s="98"/>
      <c r="T933" s="98"/>
      <c r="U933" s="98"/>
      <c r="V933" s="98"/>
      <c r="W933" s="98"/>
      <c r="X933" s="98"/>
      <c r="Y933" s="98"/>
      <c r="Z933" s="98"/>
      <c r="AA933" s="98"/>
      <c r="AB933" s="98"/>
      <c r="AC933" s="98"/>
    </row>
    <row r="934">
      <c r="A934" s="98"/>
      <c r="B934" s="98"/>
      <c r="C934" s="98"/>
      <c r="D934" s="98"/>
      <c r="E934" s="121"/>
      <c r="F934" s="98"/>
      <c r="G934" s="98"/>
      <c r="H934" s="98"/>
      <c r="I934" s="98"/>
      <c r="J934" s="98"/>
      <c r="K934" s="98"/>
      <c r="L934" s="98"/>
      <c r="M934" s="98"/>
      <c r="N934" s="98"/>
      <c r="O934" s="98"/>
      <c r="P934" s="98"/>
      <c r="Q934" s="98"/>
      <c r="R934" s="98"/>
      <c r="S934" s="98"/>
      <c r="T934" s="98"/>
      <c r="U934" s="98"/>
      <c r="V934" s="98"/>
      <c r="W934" s="98"/>
      <c r="X934" s="98"/>
      <c r="Y934" s="98"/>
      <c r="Z934" s="98"/>
      <c r="AA934" s="98"/>
      <c r="AB934" s="98"/>
      <c r="AC934" s="98"/>
    </row>
    <row r="935">
      <c r="A935" s="98"/>
      <c r="B935" s="98"/>
      <c r="C935" s="98"/>
      <c r="D935" s="98"/>
      <c r="E935" s="121"/>
      <c r="F935" s="98"/>
      <c r="G935" s="98"/>
      <c r="H935" s="98"/>
      <c r="I935" s="98"/>
      <c r="J935" s="98"/>
      <c r="K935" s="98"/>
      <c r="L935" s="98"/>
      <c r="M935" s="98"/>
      <c r="N935" s="98"/>
      <c r="O935" s="98"/>
      <c r="P935" s="98"/>
      <c r="Q935" s="98"/>
      <c r="R935" s="98"/>
      <c r="S935" s="98"/>
      <c r="T935" s="98"/>
      <c r="U935" s="98"/>
      <c r="V935" s="98"/>
      <c r="W935" s="98"/>
      <c r="X935" s="98"/>
      <c r="Y935" s="98"/>
      <c r="Z935" s="98"/>
      <c r="AA935" s="98"/>
      <c r="AB935" s="98"/>
      <c r="AC935" s="98"/>
    </row>
    <row r="936">
      <c r="A936" s="98"/>
      <c r="B936" s="98"/>
      <c r="C936" s="98"/>
      <c r="D936" s="98"/>
      <c r="E936" s="121"/>
      <c r="F936" s="98"/>
      <c r="G936" s="98"/>
      <c r="H936" s="98"/>
      <c r="I936" s="98"/>
      <c r="J936" s="98"/>
      <c r="K936" s="98"/>
      <c r="L936" s="98"/>
      <c r="M936" s="98"/>
      <c r="N936" s="98"/>
      <c r="O936" s="98"/>
      <c r="P936" s="98"/>
      <c r="Q936" s="98"/>
      <c r="R936" s="98"/>
      <c r="S936" s="98"/>
      <c r="T936" s="98"/>
      <c r="U936" s="98"/>
      <c r="V936" s="98"/>
      <c r="W936" s="98"/>
      <c r="X936" s="98"/>
      <c r="Y936" s="98"/>
      <c r="Z936" s="98"/>
      <c r="AA936" s="98"/>
      <c r="AB936" s="98"/>
      <c r="AC936" s="98"/>
    </row>
    <row r="937">
      <c r="A937" s="98"/>
      <c r="B937" s="98"/>
      <c r="C937" s="98"/>
      <c r="D937" s="98"/>
      <c r="E937" s="121"/>
      <c r="F937" s="98"/>
      <c r="G937" s="98"/>
      <c r="H937" s="98"/>
      <c r="I937" s="98"/>
      <c r="J937" s="98"/>
      <c r="K937" s="98"/>
      <c r="L937" s="98"/>
      <c r="M937" s="98"/>
      <c r="N937" s="98"/>
      <c r="O937" s="98"/>
      <c r="P937" s="98"/>
      <c r="Q937" s="98"/>
      <c r="R937" s="98"/>
      <c r="S937" s="98"/>
      <c r="T937" s="98"/>
      <c r="U937" s="98"/>
      <c r="V937" s="98"/>
      <c r="W937" s="98"/>
      <c r="X937" s="98"/>
      <c r="Y937" s="98"/>
      <c r="Z937" s="98"/>
      <c r="AA937" s="98"/>
      <c r="AB937" s="98"/>
      <c r="AC937" s="98"/>
    </row>
    <row r="938">
      <c r="A938" s="98"/>
      <c r="B938" s="98"/>
      <c r="C938" s="98"/>
      <c r="D938" s="98"/>
      <c r="E938" s="121"/>
      <c r="F938" s="98"/>
      <c r="G938" s="98"/>
      <c r="H938" s="98"/>
      <c r="I938" s="98"/>
      <c r="J938" s="98"/>
      <c r="K938" s="98"/>
      <c r="L938" s="98"/>
      <c r="M938" s="98"/>
      <c r="N938" s="98"/>
      <c r="O938" s="98"/>
      <c r="P938" s="98"/>
      <c r="Q938" s="98"/>
      <c r="R938" s="98"/>
      <c r="S938" s="98"/>
      <c r="T938" s="98"/>
      <c r="U938" s="98"/>
      <c r="V938" s="98"/>
      <c r="W938" s="98"/>
      <c r="X938" s="98"/>
      <c r="Y938" s="98"/>
      <c r="Z938" s="98"/>
      <c r="AA938" s="98"/>
      <c r="AB938" s="98"/>
      <c r="AC938" s="98"/>
    </row>
    <row r="939">
      <c r="A939" s="98"/>
      <c r="B939" s="98"/>
      <c r="C939" s="98"/>
      <c r="D939" s="98"/>
      <c r="E939" s="121"/>
      <c r="F939" s="98"/>
      <c r="G939" s="98"/>
      <c r="H939" s="98"/>
      <c r="I939" s="98"/>
      <c r="J939" s="98"/>
      <c r="K939" s="98"/>
      <c r="L939" s="98"/>
      <c r="M939" s="98"/>
      <c r="N939" s="98"/>
      <c r="O939" s="98"/>
      <c r="P939" s="98"/>
      <c r="Q939" s="98"/>
      <c r="R939" s="98"/>
      <c r="S939" s="98"/>
      <c r="T939" s="98"/>
      <c r="U939" s="98"/>
      <c r="V939" s="98"/>
      <c r="W939" s="98"/>
      <c r="X939" s="98"/>
      <c r="Y939" s="98"/>
      <c r="Z939" s="98"/>
      <c r="AA939" s="98"/>
      <c r="AB939" s="98"/>
      <c r="AC939" s="98"/>
    </row>
    <row r="940">
      <c r="A940" s="98"/>
      <c r="B940" s="98"/>
      <c r="C940" s="98"/>
      <c r="D940" s="98"/>
      <c r="E940" s="121"/>
      <c r="F940" s="98"/>
      <c r="G940" s="98"/>
      <c r="H940" s="98"/>
      <c r="I940" s="98"/>
      <c r="J940" s="98"/>
      <c r="K940" s="98"/>
      <c r="L940" s="98"/>
      <c r="M940" s="98"/>
      <c r="N940" s="98"/>
      <c r="O940" s="98"/>
      <c r="P940" s="98"/>
      <c r="Q940" s="98"/>
      <c r="R940" s="98"/>
      <c r="S940" s="98"/>
      <c r="T940" s="98"/>
      <c r="U940" s="98"/>
      <c r="V940" s="98"/>
      <c r="W940" s="98"/>
      <c r="X940" s="98"/>
      <c r="Y940" s="98"/>
      <c r="Z940" s="98"/>
      <c r="AA940" s="98"/>
      <c r="AB940" s="98"/>
      <c r="AC940" s="98"/>
    </row>
    <row r="941">
      <c r="A941" s="98"/>
      <c r="B941" s="98"/>
      <c r="C941" s="98"/>
      <c r="D941" s="98"/>
      <c r="E941" s="121"/>
      <c r="F941" s="98"/>
      <c r="G941" s="98"/>
      <c r="H941" s="98"/>
      <c r="I941" s="98"/>
      <c r="J941" s="98"/>
      <c r="K941" s="98"/>
      <c r="L941" s="98"/>
      <c r="M941" s="98"/>
      <c r="N941" s="98"/>
      <c r="O941" s="98"/>
      <c r="P941" s="98"/>
      <c r="Q941" s="98"/>
      <c r="R941" s="98"/>
      <c r="S941" s="98"/>
      <c r="T941" s="98"/>
      <c r="U941" s="98"/>
      <c r="V941" s="98"/>
      <c r="W941" s="98"/>
      <c r="X941" s="98"/>
      <c r="Y941" s="98"/>
      <c r="Z941" s="98"/>
      <c r="AA941" s="98"/>
      <c r="AB941" s="98"/>
      <c r="AC941" s="98"/>
    </row>
    <row r="942">
      <c r="A942" s="98"/>
      <c r="B942" s="98"/>
      <c r="C942" s="98"/>
      <c r="D942" s="98"/>
      <c r="E942" s="121"/>
      <c r="F942" s="98"/>
      <c r="G942" s="98"/>
      <c r="H942" s="98"/>
      <c r="I942" s="98"/>
      <c r="J942" s="98"/>
      <c r="K942" s="98"/>
      <c r="L942" s="98"/>
      <c r="M942" s="98"/>
      <c r="N942" s="98"/>
      <c r="O942" s="98"/>
      <c r="P942" s="98"/>
      <c r="Q942" s="98"/>
      <c r="R942" s="98"/>
      <c r="S942" s="98"/>
      <c r="T942" s="98"/>
      <c r="U942" s="98"/>
      <c r="V942" s="98"/>
      <c r="W942" s="98"/>
      <c r="X942" s="98"/>
      <c r="Y942" s="98"/>
      <c r="Z942" s="98"/>
      <c r="AA942" s="98"/>
      <c r="AB942" s="98"/>
      <c r="AC942" s="98"/>
    </row>
    <row r="943">
      <c r="A943" s="98"/>
      <c r="B943" s="98"/>
      <c r="C943" s="98"/>
      <c r="D943" s="98"/>
      <c r="E943" s="121"/>
      <c r="F943" s="98"/>
      <c r="G943" s="98"/>
      <c r="H943" s="98"/>
      <c r="I943" s="98"/>
      <c r="J943" s="98"/>
      <c r="K943" s="98"/>
      <c r="L943" s="98"/>
      <c r="M943" s="98"/>
      <c r="N943" s="98"/>
      <c r="O943" s="98"/>
      <c r="P943" s="98"/>
      <c r="Q943" s="98"/>
      <c r="R943" s="98"/>
      <c r="S943" s="98"/>
      <c r="T943" s="98"/>
      <c r="U943" s="98"/>
      <c r="V943" s="98"/>
      <c r="W943" s="98"/>
      <c r="X943" s="98"/>
      <c r="Y943" s="98"/>
      <c r="Z943" s="98"/>
      <c r="AA943" s="98"/>
      <c r="AB943" s="98"/>
      <c r="AC943" s="98"/>
    </row>
    <row r="944">
      <c r="A944" s="98"/>
      <c r="B944" s="98"/>
      <c r="C944" s="98"/>
      <c r="D944" s="98"/>
      <c r="E944" s="121"/>
      <c r="F944" s="98"/>
      <c r="G944" s="98"/>
      <c r="H944" s="98"/>
      <c r="I944" s="98"/>
      <c r="J944" s="98"/>
      <c r="K944" s="98"/>
      <c r="L944" s="98"/>
      <c r="M944" s="98"/>
      <c r="N944" s="98"/>
      <c r="O944" s="98"/>
      <c r="P944" s="98"/>
      <c r="Q944" s="98"/>
      <c r="R944" s="98"/>
      <c r="S944" s="98"/>
      <c r="T944" s="98"/>
      <c r="U944" s="98"/>
      <c r="V944" s="98"/>
      <c r="W944" s="98"/>
      <c r="X944" s="98"/>
      <c r="Y944" s="98"/>
      <c r="Z944" s="98"/>
      <c r="AA944" s="98"/>
      <c r="AB944" s="98"/>
      <c r="AC944" s="98"/>
    </row>
    <row r="945">
      <c r="A945" s="98"/>
      <c r="B945" s="98"/>
      <c r="C945" s="98"/>
      <c r="D945" s="98"/>
      <c r="E945" s="121"/>
      <c r="F945" s="98"/>
      <c r="G945" s="98"/>
      <c r="H945" s="98"/>
      <c r="I945" s="98"/>
      <c r="J945" s="98"/>
      <c r="K945" s="98"/>
      <c r="L945" s="98"/>
      <c r="M945" s="98"/>
      <c r="N945" s="98"/>
      <c r="O945" s="98"/>
      <c r="P945" s="98"/>
      <c r="Q945" s="98"/>
      <c r="R945" s="98"/>
      <c r="S945" s="98"/>
      <c r="T945" s="98"/>
      <c r="U945" s="98"/>
      <c r="V945" s="98"/>
      <c r="W945" s="98"/>
      <c r="X945" s="98"/>
      <c r="Y945" s="98"/>
      <c r="Z945" s="98"/>
      <c r="AA945" s="98"/>
      <c r="AB945" s="98"/>
      <c r="AC945" s="98"/>
    </row>
    <row r="946">
      <c r="A946" s="98"/>
      <c r="B946" s="98"/>
      <c r="C946" s="98"/>
      <c r="D946" s="98"/>
      <c r="E946" s="121"/>
      <c r="F946" s="98"/>
      <c r="G946" s="98"/>
      <c r="H946" s="98"/>
      <c r="I946" s="98"/>
      <c r="J946" s="98"/>
      <c r="K946" s="98"/>
      <c r="L946" s="98"/>
      <c r="M946" s="98"/>
      <c r="N946" s="98"/>
      <c r="O946" s="98"/>
      <c r="P946" s="98"/>
      <c r="Q946" s="98"/>
      <c r="R946" s="98"/>
      <c r="S946" s="98"/>
      <c r="T946" s="98"/>
      <c r="U946" s="98"/>
      <c r="V946" s="98"/>
      <c r="W946" s="98"/>
      <c r="X946" s="98"/>
      <c r="Y946" s="98"/>
      <c r="Z946" s="98"/>
      <c r="AA946" s="98"/>
      <c r="AB946" s="98"/>
      <c r="AC946" s="98"/>
    </row>
    <row r="947">
      <c r="A947" s="98"/>
      <c r="B947" s="98"/>
      <c r="C947" s="98"/>
      <c r="D947" s="98"/>
      <c r="E947" s="121"/>
      <c r="F947" s="98"/>
      <c r="G947" s="98"/>
      <c r="H947" s="98"/>
      <c r="I947" s="98"/>
      <c r="J947" s="98"/>
      <c r="K947" s="98"/>
      <c r="L947" s="98"/>
      <c r="M947" s="98"/>
      <c r="N947" s="98"/>
      <c r="O947" s="98"/>
      <c r="P947" s="98"/>
      <c r="Q947" s="98"/>
      <c r="R947" s="98"/>
      <c r="S947" s="98"/>
      <c r="T947" s="98"/>
      <c r="U947" s="98"/>
      <c r="V947" s="98"/>
      <c r="W947" s="98"/>
      <c r="X947" s="98"/>
      <c r="Y947" s="98"/>
      <c r="Z947" s="98"/>
      <c r="AA947" s="98"/>
      <c r="AB947" s="98"/>
      <c r="AC947" s="98"/>
    </row>
    <row r="948">
      <c r="A948" s="98"/>
      <c r="B948" s="98"/>
      <c r="C948" s="98"/>
      <c r="D948" s="98"/>
      <c r="E948" s="121"/>
      <c r="F948" s="98"/>
      <c r="G948" s="98"/>
      <c r="H948" s="98"/>
      <c r="I948" s="98"/>
      <c r="J948" s="98"/>
      <c r="K948" s="98"/>
      <c r="L948" s="98"/>
      <c r="M948" s="98"/>
      <c r="N948" s="98"/>
      <c r="O948" s="98"/>
      <c r="P948" s="98"/>
      <c r="Q948" s="98"/>
      <c r="R948" s="98"/>
      <c r="S948" s="98"/>
      <c r="T948" s="98"/>
      <c r="U948" s="98"/>
      <c r="V948" s="98"/>
      <c r="W948" s="98"/>
      <c r="X948" s="98"/>
      <c r="Y948" s="98"/>
      <c r="Z948" s="98"/>
      <c r="AA948" s="98"/>
      <c r="AB948" s="98"/>
      <c r="AC948" s="98"/>
    </row>
    <row r="949">
      <c r="A949" s="98"/>
      <c r="B949" s="98"/>
      <c r="C949" s="98"/>
      <c r="D949" s="98"/>
      <c r="E949" s="121"/>
      <c r="F949" s="98"/>
      <c r="G949" s="98"/>
      <c r="H949" s="98"/>
      <c r="I949" s="98"/>
      <c r="J949" s="98"/>
      <c r="K949" s="98"/>
      <c r="L949" s="98"/>
      <c r="M949" s="98"/>
      <c r="N949" s="98"/>
      <c r="O949" s="98"/>
      <c r="P949" s="98"/>
      <c r="Q949" s="98"/>
      <c r="R949" s="98"/>
      <c r="S949" s="98"/>
      <c r="T949" s="98"/>
      <c r="U949" s="98"/>
      <c r="V949" s="98"/>
      <c r="W949" s="98"/>
      <c r="X949" s="98"/>
      <c r="Y949" s="98"/>
      <c r="Z949" s="98"/>
      <c r="AA949" s="98"/>
      <c r="AB949" s="98"/>
      <c r="AC949" s="98"/>
    </row>
    <row r="950">
      <c r="A950" s="98"/>
      <c r="B950" s="98"/>
      <c r="C950" s="98"/>
      <c r="D950" s="98"/>
      <c r="E950" s="121"/>
      <c r="F950" s="98"/>
      <c r="G950" s="98"/>
      <c r="H950" s="98"/>
      <c r="I950" s="98"/>
      <c r="J950" s="98"/>
      <c r="K950" s="98"/>
      <c r="L950" s="98"/>
      <c r="M950" s="98"/>
      <c r="N950" s="98"/>
      <c r="O950" s="98"/>
      <c r="P950" s="98"/>
      <c r="Q950" s="98"/>
      <c r="R950" s="98"/>
      <c r="S950" s="98"/>
      <c r="T950" s="98"/>
      <c r="U950" s="98"/>
      <c r="V950" s="98"/>
      <c r="W950" s="98"/>
      <c r="X950" s="98"/>
      <c r="Y950" s="98"/>
      <c r="Z950" s="98"/>
      <c r="AA950" s="98"/>
      <c r="AB950" s="98"/>
      <c r="AC950" s="98"/>
    </row>
    <row r="951">
      <c r="A951" s="98"/>
      <c r="B951" s="98"/>
      <c r="C951" s="98"/>
      <c r="D951" s="98"/>
      <c r="E951" s="121"/>
      <c r="F951" s="98"/>
      <c r="G951" s="98"/>
      <c r="H951" s="98"/>
      <c r="I951" s="98"/>
      <c r="J951" s="98"/>
      <c r="K951" s="98"/>
      <c r="L951" s="98"/>
      <c r="M951" s="98"/>
      <c r="N951" s="98"/>
      <c r="O951" s="98"/>
      <c r="P951" s="98"/>
      <c r="Q951" s="98"/>
      <c r="R951" s="98"/>
      <c r="S951" s="98"/>
      <c r="T951" s="98"/>
      <c r="U951" s="98"/>
      <c r="V951" s="98"/>
      <c r="W951" s="98"/>
      <c r="X951" s="98"/>
      <c r="Y951" s="98"/>
      <c r="Z951" s="98"/>
      <c r="AA951" s="98"/>
      <c r="AB951" s="98"/>
      <c r="AC951" s="98"/>
    </row>
    <row r="952">
      <c r="A952" s="98"/>
      <c r="B952" s="98"/>
      <c r="C952" s="98"/>
      <c r="D952" s="98"/>
      <c r="E952" s="121"/>
      <c r="F952" s="98"/>
      <c r="G952" s="98"/>
      <c r="H952" s="98"/>
      <c r="I952" s="98"/>
      <c r="J952" s="98"/>
      <c r="K952" s="98"/>
      <c r="L952" s="98"/>
      <c r="M952" s="98"/>
      <c r="N952" s="98"/>
      <c r="O952" s="98"/>
      <c r="P952" s="98"/>
      <c r="Q952" s="98"/>
      <c r="R952" s="98"/>
      <c r="S952" s="98"/>
      <c r="T952" s="98"/>
      <c r="U952" s="98"/>
      <c r="V952" s="98"/>
      <c r="W952" s="98"/>
      <c r="X952" s="98"/>
      <c r="Y952" s="98"/>
      <c r="Z952" s="98"/>
      <c r="AA952" s="98"/>
      <c r="AB952" s="98"/>
      <c r="AC952" s="98"/>
    </row>
    <row r="953">
      <c r="A953" s="98"/>
      <c r="B953" s="98"/>
      <c r="C953" s="98"/>
      <c r="D953" s="98"/>
      <c r="E953" s="121"/>
      <c r="F953" s="98"/>
      <c r="G953" s="98"/>
      <c r="H953" s="98"/>
      <c r="I953" s="98"/>
      <c r="J953" s="98"/>
      <c r="K953" s="98"/>
      <c r="L953" s="98"/>
      <c r="M953" s="98"/>
      <c r="N953" s="98"/>
      <c r="O953" s="98"/>
      <c r="P953" s="98"/>
      <c r="Q953" s="98"/>
      <c r="R953" s="98"/>
      <c r="S953" s="98"/>
      <c r="T953" s="98"/>
      <c r="U953" s="98"/>
      <c r="V953" s="98"/>
      <c r="W953" s="98"/>
      <c r="X953" s="98"/>
      <c r="Y953" s="98"/>
      <c r="Z953" s="98"/>
      <c r="AA953" s="98"/>
      <c r="AB953" s="98"/>
      <c r="AC953" s="98"/>
    </row>
    <row r="954">
      <c r="A954" s="98"/>
      <c r="B954" s="98"/>
      <c r="C954" s="98"/>
      <c r="D954" s="98"/>
      <c r="E954" s="121"/>
      <c r="F954" s="98"/>
      <c r="G954" s="98"/>
      <c r="H954" s="98"/>
      <c r="I954" s="98"/>
      <c r="J954" s="98"/>
      <c r="K954" s="98"/>
      <c r="L954" s="98"/>
      <c r="M954" s="98"/>
      <c r="N954" s="98"/>
      <c r="O954" s="98"/>
      <c r="P954" s="98"/>
      <c r="Q954" s="98"/>
      <c r="R954" s="98"/>
      <c r="S954" s="98"/>
      <c r="T954" s="98"/>
      <c r="U954" s="98"/>
      <c r="V954" s="98"/>
      <c r="W954" s="98"/>
      <c r="X954" s="98"/>
      <c r="Y954" s="98"/>
      <c r="Z954" s="98"/>
      <c r="AA954" s="98"/>
      <c r="AB954" s="98"/>
      <c r="AC954" s="98"/>
    </row>
    <row r="955">
      <c r="A955" s="98"/>
      <c r="B955" s="98"/>
      <c r="C955" s="98"/>
      <c r="D955" s="98"/>
      <c r="E955" s="121"/>
      <c r="F955" s="98"/>
      <c r="G955" s="98"/>
      <c r="H955" s="98"/>
      <c r="I955" s="98"/>
      <c r="J955" s="98"/>
      <c r="K955" s="98"/>
      <c r="L955" s="98"/>
      <c r="M955" s="98"/>
      <c r="N955" s="98"/>
      <c r="O955" s="98"/>
      <c r="P955" s="98"/>
      <c r="Q955" s="98"/>
      <c r="R955" s="98"/>
      <c r="S955" s="98"/>
      <c r="T955" s="98"/>
      <c r="U955" s="98"/>
      <c r="V955" s="98"/>
      <c r="W955" s="98"/>
      <c r="X955" s="98"/>
      <c r="Y955" s="98"/>
      <c r="Z955" s="98"/>
      <c r="AA955" s="98"/>
      <c r="AB955" s="98"/>
      <c r="AC955" s="98"/>
    </row>
    <row r="956">
      <c r="A956" s="98"/>
      <c r="B956" s="98"/>
      <c r="C956" s="98"/>
      <c r="D956" s="98"/>
      <c r="E956" s="121"/>
      <c r="F956" s="98"/>
      <c r="G956" s="98"/>
      <c r="H956" s="98"/>
      <c r="I956" s="98"/>
      <c r="J956" s="98"/>
      <c r="K956" s="98"/>
      <c r="L956" s="98"/>
      <c r="M956" s="98"/>
      <c r="N956" s="98"/>
      <c r="O956" s="98"/>
      <c r="P956" s="98"/>
      <c r="Q956" s="98"/>
      <c r="R956" s="98"/>
      <c r="S956" s="98"/>
      <c r="T956" s="98"/>
      <c r="U956" s="98"/>
      <c r="V956" s="98"/>
      <c r="W956" s="98"/>
      <c r="X956" s="98"/>
      <c r="Y956" s="98"/>
      <c r="Z956" s="98"/>
      <c r="AA956" s="98"/>
      <c r="AB956" s="98"/>
      <c r="AC956" s="98"/>
    </row>
    <row r="957">
      <c r="A957" s="98"/>
      <c r="B957" s="98"/>
      <c r="C957" s="98"/>
      <c r="D957" s="98"/>
      <c r="E957" s="121"/>
      <c r="F957" s="98"/>
      <c r="G957" s="98"/>
      <c r="H957" s="98"/>
      <c r="I957" s="98"/>
      <c r="J957" s="98"/>
      <c r="K957" s="98"/>
      <c r="L957" s="98"/>
      <c r="M957" s="98"/>
      <c r="N957" s="98"/>
      <c r="O957" s="98"/>
      <c r="P957" s="98"/>
      <c r="Q957" s="98"/>
      <c r="R957" s="98"/>
      <c r="S957" s="98"/>
      <c r="T957" s="98"/>
      <c r="U957" s="98"/>
      <c r="V957" s="98"/>
      <c r="W957" s="98"/>
      <c r="X957" s="98"/>
      <c r="Y957" s="98"/>
      <c r="Z957" s="98"/>
      <c r="AA957" s="98"/>
      <c r="AB957" s="98"/>
      <c r="AC957" s="98"/>
    </row>
    <row r="958">
      <c r="A958" s="98"/>
      <c r="B958" s="98"/>
      <c r="C958" s="98"/>
      <c r="D958" s="98"/>
      <c r="E958" s="121"/>
      <c r="F958" s="98"/>
      <c r="G958" s="98"/>
      <c r="H958" s="98"/>
      <c r="I958" s="98"/>
      <c r="J958" s="98"/>
      <c r="K958" s="98"/>
      <c r="L958" s="98"/>
      <c r="M958" s="98"/>
      <c r="N958" s="98"/>
      <c r="O958" s="98"/>
      <c r="P958" s="98"/>
      <c r="Q958" s="98"/>
      <c r="R958" s="98"/>
      <c r="S958" s="98"/>
      <c r="T958" s="98"/>
      <c r="U958" s="98"/>
      <c r="V958" s="98"/>
      <c r="W958" s="98"/>
      <c r="X958" s="98"/>
      <c r="Y958" s="98"/>
      <c r="Z958" s="98"/>
      <c r="AA958" s="98"/>
      <c r="AB958" s="98"/>
      <c r="AC958" s="98"/>
    </row>
    <row r="959">
      <c r="A959" s="98"/>
      <c r="B959" s="98"/>
      <c r="C959" s="98"/>
      <c r="D959" s="98"/>
      <c r="E959" s="121"/>
      <c r="F959" s="98"/>
      <c r="G959" s="98"/>
      <c r="H959" s="98"/>
      <c r="I959" s="98"/>
      <c r="J959" s="98"/>
      <c r="K959" s="98"/>
      <c r="L959" s="98"/>
      <c r="M959" s="98"/>
      <c r="N959" s="98"/>
      <c r="O959" s="98"/>
      <c r="P959" s="98"/>
      <c r="Q959" s="98"/>
      <c r="R959" s="98"/>
      <c r="S959" s="98"/>
      <c r="T959" s="98"/>
      <c r="U959" s="98"/>
      <c r="V959" s="98"/>
      <c r="W959" s="98"/>
      <c r="X959" s="98"/>
      <c r="Y959" s="98"/>
      <c r="Z959" s="98"/>
      <c r="AA959" s="98"/>
      <c r="AB959" s="98"/>
      <c r="AC959" s="98"/>
    </row>
    <row r="960">
      <c r="A960" s="98"/>
      <c r="B960" s="98"/>
      <c r="C960" s="98"/>
      <c r="D960" s="98"/>
      <c r="E960" s="121"/>
      <c r="F960" s="98"/>
      <c r="G960" s="98"/>
      <c r="H960" s="98"/>
      <c r="I960" s="98"/>
      <c r="J960" s="98"/>
      <c r="K960" s="98"/>
      <c r="L960" s="98"/>
      <c r="M960" s="98"/>
      <c r="N960" s="98"/>
      <c r="O960" s="98"/>
      <c r="P960" s="98"/>
      <c r="Q960" s="98"/>
      <c r="R960" s="98"/>
      <c r="S960" s="98"/>
      <c r="T960" s="98"/>
      <c r="U960" s="98"/>
      <c r="V960" s="98"/>
      <c r="W960" s="98"/>
      <c r="X960" s="98"/>
      <c r="Y960" s="98"/>
      <c r="Z960" s="98"/>
      <c r="AA960" s="98"/>
      <c r="AB960" s="98"/>
      <c r="AC960" s="98"/>
    </row>
    <row r="961">
      <c r="A961" s="98"/>
      <c r="B961" s="98"/>
      <c r="C961" s="98"/>
      <c r="D961" s="98"/>
      <c r="E961" s="121"/>
      <c r="F961" s="98"/>
      <c r="G961" s="98"/>
      <c r="H961" s="98"/>
      <c r="I961" s="98"/>
      <c r="J961" s="98"/>
      <c r="K961" s="98"/>
      <c r="L961" s="98"/>
      <c r="M961" s="98"/>
      <c r="N961" s="98"/>
      <c r="O961" s="98"/>
      <c r="P961" s="98"/>
      <c r="Q961" s="98"/>
      <c r="R961" s="98"/>
      <c r="S961" s="98"/>
      <c r="T961" s="98"/>
      <c r="U961" s="98"/>
      <c r="V961" s="98"/>
      <c r="W961" s="98"/>
      <c r="X961" s="98"/>
      <c r="Y961" s="98"/>
      <c r="Z961" s="98"/>
      <c r="AA961" s="98"/>
      <c r="AB961" s="98"/>
      <c r="AC961" s="98"/>
    </row>
    <row r="962">
      <c r="A962" s="98"/>
      <c r="B962" s="98"/>
      <c r="C962" s="98"/>
      <c r="D962" s="98"/>
      <c r="E962" s="121"/>
      <c r="F962" s="98"/>
      <c r="G962" s="98"/>
      <c r="H962" s="98"/>
      <c r="I962" s="98"/>
      <c r="J962" s="98"/>
      <c r="K962" s="98"/>
      <c r="L962" s="98"/>
      <c r="M962" s="98"/>
      <c r="N962" s="98"/>
      <c r="O962" s="98"/>
      <c r="P962" s="98"/>
      <c r="Q962" s="98"/>
      <c r="R962" s="98"/>
      <c r="S962" s="98"/>
      <c r="T962" s="98"/>
      <c r="U962" s="98"/>
      <c r="V962" s="98"/>
      <c r="W962" s="98"/>
      <c r="X962" s="98"/>
      <c r="Y962" s="98"/>
      <c r="Z962" s="98"/>
      <c r="AA962" s="98"/>
      <c r="AB962" s="98"/>
      <c r="AC962" s="98"/>
    </row>
    <row r="963">
      <c r="A963" s="98"/>
      <c r="B963" s="98"/>
      <c r="C963" s="98"/>
      <c r="D963" s="98"/>
      <c r="E963" s="121"/>
      <c r="F963" s="98"/>
      <c r="G963" s="98"/>
      <c r="H963" s="98"/>
      <c r="I963" s="98"/>
      <c r="J963" s="98"/>
      <c r="K963" s="98"/>
      <c r="L963" s="98"/>
      <c r="M963" s="98"/>
      <c r="N963" s="98"/>
      <c r="O963" s="98"/>
      <c r="P963" s="98"/>
      <c r="Q963" s="98"/>
      <c r="R963" s="98"/>
      <c r="S963" s="98"/>
      <c r="T963" s="98"/>
      <c r="U963" s="98"/>
      <c r="V963" s="98"/>
      <c r="W963" s="98"/>
      <c r="X963" s="98"/>
      <c r="Y963" s="98"/>
      <c r="Z963" s="98"/>
      <c r="AA963" s="98"/>
      <c r="AB963" s="98"/>
      <c r="AC963" s="98"/>
    </row>
    <row r="964">
      <c r="A964" s="98"/>
      <c r="B964" s="98"/>
      <c r="C964" s="98"/>
      <c r="D964" s="98"/>
      <c r="E964" s="121"/>
      <c r="F964" s="98"/>
      <c r="G964" s="98"/>
      <c r="H964" s="98"/>
      <c r="I964" s="98"/>
      <c r="J964" s="98"/>
      <c r="K964" s="98"/>
      <c r="L964" s="98"/>
      <c r="M964" s="98"/>
      <c r="N964" s="98"/>
      <c r="O964" s="98"/>
      <c r="P964" s="98"/>
      <c r="Q964" s="98"/>
      <c r="R964" s="98"/>
      <c r="S964" s="98"/>
      <c r="T964" s="98"/>
      <c r="U964" s="98"/>
      <c r="V964" s="98"/>
      <c r="W964" s="98"/>
      <c r="X964" s="98"/>
      <c r="Y964" s="98"/>
      <c r="Z964" s="98"/>
      <c r="AA964" s="98"/>
      <c r="AB964" s="98"/>
      <c r="AC964" s="98"/>
    </row>
    <row r="965">
      <c r="A965" s="98"/>
      <c r="B965" s="98"/>
      <c r="C965" s="98"/>
      <c r="D965" s="98"/>
      <c r="E965" s="121"/>
      <c r="F965" s="98"/>
      <c r="G965" s="98"/>
      <c r="H965" s="98"/>
      <c r="I965" s="98"/>
      <c r="J965" s="98"/>
      <c r="K965" s="98"/>
      <c r="L965" s="98"/>
      <c r="M965" s="98"/>
      <c r="N965" s="98"/>
      <c r="O965" s="98"/>
      <c r="P965" s="98"/>
      <c r="Q965" s="98"/>
      <c r="R965" s="98"/>
      <c r="S965" s="98"/>
      <c r="T965" s="98"/>
      <c r="U965" s="98"/>
      <c r="V965" s="98"/>
      <c r="W965" s="98"/>
      <c r="X965" s="98"/>
      <c r="Y965" s="98"/>
      <c r="Z965" s="98"/>
      <c r="AA965" s="98"/>
      <c r="AB965" s="98"/>
      <c r="AC965" s="98"/>
    </row>
    <row r="966">
      <c r="A966" s="98"/>
      <c r="B966" s="98"/>
      <c r="C966" s="98"/>
      <c r="D966" s="98"/>
      <c r="E966" s="121"/>
      <c r="F966" s="98"/>
      <c r="G966" s="98"/>
      <c r="H966" s="98"/>
      <c r="I966" s="98"/>
      <c r="J966" s="98"/>
      <c r="K966" s="98"/>
      <c r="L966" s="98"/>
      <c r="M966" s="98"/>
      <c r="N966" s="98"/>
      <c r="O966" s="98"/>
      <c r="P966" s="98"/>
      <c r="Q966" s="98"/>
      <c r="R966" s="98"/>
      <c r="S966" s="98"/>
      <c r="T966" s="98"/>
      <c r="U966" s="98"/>
      <c r="V966" s="98"/>
      <c r="W966" s="98"/>
      <c r="X966" s="98"/>
      <c r="Y966" s="98"/>
      <c r="Z966" s="98"/>
      <c r="AA966" s="98"/>
      <c r="AB966" s="98"/>
      <c r="AC966" s="98"/>
    </row>
    <row r="967">
      <c r="A967" s="98"/>
      <c r="B967" s="98"/>
      <c r="C967" s="98"/>
      <c r="D967" s="98"/>
      <c r="E967" s="121"/>
      <c r="F967" s="98"/>
      <c r="G967" s="98"/>
      <c r="H967" s="98"/>
      <c r="I967" s="98"/>
      <c r="J967" s="98"/>
      <c r="K967" s="98"/>
      <c r="L967" s="98"/>
      <c r="M967" s="98"/>
      <c r="N967" s="98"/>
      <c r="O967" s="98"/>
      <c r="P967" s="98"/>
      <c r="Q967" s="98"/>
      <c r="R967" s="98"/>
      <c r="S967" s="98"/>
      <c r="T967" s="98"/>
      <c r="U967" s="98"/>
      <c r="V967" s="98"/>
      <c r="W967" s="98"/>
      <c r="X967" s="98"/>
      <c r="Y967" s="98"/>
      <c r="Z967" s="98"/>
      <c r="AA967" s="98"/>
      <c r="AB967" s="98"/>
      <c r="AC967" s="98"/>
    </row>
    <row r="968">
      <c r="A968" s="98"/>
      <c r="B968" s="98"/>
      <c r="C968" s="98"/>
      <c r="D968" s="98"/>
      <c r="E968" s="121"/>
      <c r="F968" s="98"/>
      <c r="G968" s="98"/>
      <c r="H968" s="98"/>
      <c r="I968" s="98"/>
      <c r="J968" s="98"/>
      <c r="K968" s="98"/>
      <c r="L968" s="98"/>
      <c r="M968" s="98"/>
      <c r="N968" s="98"/>
      <c r="O968" s="98"/>
      <c r="P968" s="98"/>
      <c r="Q968" s="98"/>
      <c r="R968" s="98"/>
      <c r="S968" s="98"/>
      <c r="T968" s="98"/>
      <c r="U968" s="98"/>
      <c r="V968" s="98"/>
      <c r="W968" s="98"/>
      <c r="X968" s="98"/>
      <c r="Y968" s="98"/>
      <c r="Z968" s="98"/>
      <c r="AA968" s="98"/>
      <c r="AB968" s="98"/>
      <c r="AC968" s="98"/>
    </row>
    <row r="969">
      <c r="A969" s="98"/>
      <c r="B969" s="98"/>
      <c r="C969" s="98"/>
      <c r="D969" s="98"/>
      <c r="E969" s="121"/>
      <c r="F969" s="98"/>
      <c r="G969" s="98"/>
      <c r="H969" s="98"/>
      <c r="I969" s="98"/>
      <c r="J969" s="98"/>
      <c r="K969" s="98"/>
      <c r="L969" s="98"/>
      <c r="M969" s="98"/>
      <c r="N969" s="98"/>
      <c r="O969" s="98"/>
      <c r="P969" s="98"/>
      <c r="Q969" s="98"/>
      <c r="R969" s="98"/>
      <c r="S969" s="98"/>
      <c r="T969" s="98"/>
      <c r="U969" s="98"/>
      <c r="V969" s="98"/>
      <c r="W969" s="98"/>
      <c r="X969" s="98"/>
      <c r="Y969" s="98"/>
      <c r="Z969" s="98"/>
      <c r="AA969" s="98"/>
      <c r="AB969" s="98"/>
      <c r="AC969" s="98"/>
    </row>
    <row r="970">
      <c r="A970" s="98"/>
      <c r="B970" s="98"/>
      <c r="C970" s="98"/>
      <c r="D970" s="98"/>
      <c r="E970" s="121"/>
      <c r="F970" s="98"/>
      <c r="G970" s="98"/>
      <c r="H970" s="98"/>
      <c r="I970" s="98"/>
      <c r="J970" s="98"/>
      <c r="K970" s="98"/>
      <c r="L970" s="98"/>
      <c r="M970" s="98"/>
      <c r="N970" s="98"/>
      <c r="O970" s="98"/>
      <c r="P970" s="98"/>
      <c r="Q970" s="98"/>
      <c r="R970" s="98"/>
      <c r="S970" s="98"/>
      <c r="T970" s="98"/>
      <c r="U970" s="98"/>
      <c r="V970" s="98"/>
      <c r="W970" s="98"/>
      <c r="X970" s="98"/>
      <c r="Y970" s="98"/>
      <c r="Z970" s="98"/>
      <c r="AA970" s="98"/>
      <c r="AB970" s="98"/>
      <c r="AC970" s="98"/>
    </row>
    <row r="971">
      <c r="A971" s="98"/>
      <c r="B971" s="98"/>
      <c r="C971" s="98"/>
      <c r="D971" s="98"/>
      <c r="E971" s="121"/>
      <c r="F971" s="98"/>
      <c r="G971" s="98"/>
      <c r="H971" s="98"/>
      <c r="I971" s="98"/>
      <c r="J971" s="98"/>
      <c r="K971" s="98"/>
      <c r="L971" s="98"/>
      <c r="M971" s="98"/>
      <c r="N971" s="98"/>
      <c r="O971" s="98"/>
      <c r="P971" s="98"/>
      <c r="Q971" s="98"/>
      <c r="R971" s="98"/>
      <c r="S971" s="98"/>
      <c r="T971" s="98"/>
      <c r="U971" s="98"/>
      <c r="V971" s="98"/>
      <c r="W971" s="98"/>
      <c r="X971" s="98"/>
      <c r="Y971" s="98"/>
      <c r="Z971" s="98"/>
      <c r="AA971" s="98"/>
      <c r="AB971" s="98"/>
      <c r="AC971" s="98"/>
    </row>
    <row r="972">
      <c r="A972" s="98"/>
      <c r="B972" s="98"/>
      <c r="C972" s="98"/>
      <c r="D972" s="98"/>
      <c r="E972" s="121"/>
      <c r="F972" s="98"/>
      <c r="G972" s="98"/>
      <c r="H972" s="98"/>
      <c r="I972" s="98"/>
      <c r="J972" s="98"/>
      <c r="K972" s="98"/>
      <c r="L972" s="98"/>
      <c r="M972" s="98"/>
      <c r="N972" s="98"/>
      <c r="O972" s="98"/>
      <c r="P972" s="98"/>
      <c r="Q972" s="98"/>
      <c r="R972" s="98"/>
      <c r="S972" s="98"/>
      <c r="T972" s="98"/>
      <c r="U972" s="98"/>
      <c r="V972" s="98"/>
      <c r="W972" s="98"/>
      <c r="X972" s="98"/>
      <c r="Y972" s="98"/>
      <c r="Z972" s="98"/>
      <c r="AA972" s="98"/>
      <c r="AB972" s="98"/>
      <c r="AC972" s="98"/>
    </row>
    <row r="973">
      <c r="A973" s="98"/>
      <c r="B973" s="98"/>
      <c r="C973" s="98"/>
      <c r="D973" s="98"/>
      <c r="E973" s="121"/>
      <c r="F973" s="98"/>
      <c r="G973" s="98"/>
      <c r="H973" s="98"/>
      <c r="I973" s="98"/>
      <c r="J973" s="98"/>
      <c r="K973" s="98"/>
      <c r="L973" s="98"/>
      <c r="M973" s="98"/>
      <c r="N973" s="98"/>
      <c r="O973" s="98"/>
      <c r="P973" s="98"/>
      <c r="Q973" s="98"/>
      <c r="R973" s="98"/>
      <c r="S973" s="98"/>
      <c r="T973" s="98"/>
      <c r="U973" s="98"/>
      <c r="V973" s="98"/>
      <c r="W973" s="98"/>
      <c r="X973" s="98"/>
      <c r="Y973" s="98"/>
      <c r="Z973" s="98"/>
      <c r="AA973" s="98"/>
      <c r="AB973" s="98"/>
      <c r="AC973" s="98"/>
    </row>
    <row r="974">
      <c r="A974" s="98"/>
      <c r="B974" s="98"/>
      <c r="C974" s="98"/>
      <c r="D974" s="98"/>
      <c r="E974" s="121"/>
      <c r="F974" s="98"/>
      <c r="G974" s="98"/>
      <c r="H974" s="98"/>
      <c r="I974" s="98"/>
      <c r="J974" s="98"/>
      <c r="K974" s="98"/>
      <c r="L974" s="98"/>
      <c r="M974" s="98"/>
      <c r="N974" s="98"/>
      <c r="O974" s="98"/>
      <c r="P974" s="98"/>
      <c r="Q974" s="98"/>
      <c r="R974" s="98"/>
      <c r="S974" s="98"/>
      <c r="T974" s="98"/>
      <c r="U974" s="98"/>
      <c r="V974" s="98"/>
      <c r="W974" s="98"/>
      <c r="X974" s="98"/>
      <c r="Y974" s="98"/>
      <c r="Z974" s="98"/>
      <c r="AA974" s="98"/>
      <c r="AB974" s="98"/>
      <c r="AC974" s="98"/>
    </row>
    <row r="975">
      <c r="A975" s="98"/>
      <c r="B975" s="98"/>
      <c r="C975" s="98"/>
      <c r="D975" s="98"/>
      <c r="E975" s="121"/>
      <c r="F975" s="98"/>
      <c r="G975" s="98"/>
      <c r="H975" s="98"/>
      <c r="I975" s="98"/>
      <c r="J975" s="98"/>
      <c r="K975" s="98"/>
      <c r="L975" s="98"/>
      <c r="M975" s="98"/>
      <c r="N975" s="98"/>
      <c r="O975" s="98"/>
      <c r="P975" s="98"/>
      <c r="Q975" s="98"/>
      <c r="R975" s="98"/>
      <c r="S975" s="98"/>
      <c r="T975" s="98"/>
      <c r="U975" s="98"/>
      <c r="V975" s="98"/>
      <c r="W975" s="98"/>
      <c r="X975" s="98"/>
      <c r="Y975" s="98"/>
      <c r="Z975" s="98"/>
      <c r="AA975" s="98"/>
      <c r="AB975" s="98"/>
      <c r="AC975" s="98"/>
    </row>
    <row r="976">
      <c r="A976" s="98"/>
      <c r="B976" s="98"/>
      <c r="C976" s="98"/>
      <c r="D976" s="98"/>
      <c r="E976" s="121"/>
      <c r="F976" s="98"/>
      <c r="G976" s="98"/>
      <c r="H976" s="98"/>
      <c r="I976" s="98"/>
      <c r="J976" s="98"/>
      <c r="K976" s="98"/>
      <c r="L976" s="98"/>
      <c r="M976" s="98"/>
      <c r="N976" s="98"/>
      <c r="O976" s="98"/>
      <c r="P976" s="98"/>
      <c r="Q976" s="98"/>
      <c r="R976" s="98"/>
      <c r="S976" s="98"/>
      <c r="T976" s="98"/>
      <c r="U976" s="98"/>
      <c r="V976" s="98"/>
      <c r="W976" s="98"/>
      <c r="X976" s="98"/>
      <c r="Y976" s="98"/>
      <c r="Z976" s="98"/>
      <c r="AA976" s="98"/>
      <c r="AB976" s="98"/>
      <c r="AC976" s="98"/>
    </row>
    <row r="977">
      <c r="A977" s="98"/>
      <c r="B977" s="98"/>
      <c r="C977" s="98"/>
      <c r="D977" s="98"/>
      <c r="E977" s="121"/>
      <c r="F977" s="98"/>
      <c r="G977" s="98"/>
      <c r="H977" s="98"/>
      <c r="I977" s="98"/>
      <c r="J977" s="98"/>
      <c r="K977" s="98"/>
      <c r="L977" s="98"/>
      <c r="M977" s="98"/>
      <c r="N977" s="98"/>
      <c r="O977" s="98"/>
      <c r="P977" s="98"/>
      <c r="Q977" s="98"/>
      <c r="R977" s="98"/>
      <c r="S977" s="98"/>
      <c r="T977" s="98"/>
      <c r="U977" s="98"/>
      <c r="V977" s="98"/>
      <c r="W977" s="98"/>
      <c r="X977" s="98"/>
      <c r="Y977" s="98"/>
      <c r="Z977" s="98"/>
      <c r="AA977" s="98"/>
      <c r="AB977" s="98"/>
      <c r="AC977" s="98"/>
    </row>
    <row r="978">
      <c r="A978" s="98"/>
      <c r="B978" s="98"/>
      <c r="C978" s="98"/>
      <c r="D978" s="98"/>
      <c r="E978" s="121"/>
      <c r="F978" s="98"/>
      <c r="G978" s="98"/>
      <c r="H978" s="98"/>
      <c r="I978" s="98"/>
      <c r="J978" s="98"/>
      <c r="K978" s="98"/>
      <c r="L978" s="98"/>
      <c r="M978" s="98"/>
      <c r="N978" s="98"/>
      <c r="O978" s="98"/>
      <c r="P978" s="98"/>
      <c r="Q978" s="98"/>
      <c r="R978" s="98"/>
      <c r="S978" s="98"/>
      <c r="T978" s="98"/>
      <c r="U978" s="98"/>
      <c r="V978" s="98"/>
      <c r="W978" s="98"/>
      <c r="X978" s="98"/>
      <c r="Y978" s="98"/>
      <c r="Z978" s="98"/>
      <c r="AA978" s="98"/>
      <c r="AB978" s="98"/>
      <c r="AC978" s="98"/>
    </row>
    <row r="979">
      <c r="A979" s="98"/>
      <c r="B979" s="98"/>
      <c r="C979" s="98"/>
      <c r="D979" s="98"/>
      <c r="E979" s="121"/>
      <c r="F979" s="98"/>
      <c r="G979" s="98"/>
      <c r="H979" s="98"/>
      <c r="I979" s="98"/>
      <c r="J979" s="98"/>
      <c r="K979" s="98"/>
      <c r="L979" s="98"/>
      <c r="M979" s="98"/>
      <c r="N979" s="98"/>
      <c r="O979" s="98"/>
      <c r="P979" s="98"/>
      <c r="Q979" s="98"/>
      <c r="R979" s="98"/>
      <c r="S979" s="98"/>
      <c r="T979" s="98"/>
      <c r="U979" s="98"/>
      <c r="V979" s="98"/>
      <c r="W979" s="98"/>
      <c r="X979" s="98"/>
      <c r="Y979" s="98"/>
      <c r="Z979" s="98"/>
      <c r="AA979" s="98"/>
      <c r="AB979" s="98"/>
      <c r="AC979" s="98"/>
    </row>
    <row r="980">
      <c r="A980" s="98"/>
      <c r="B980" s="98"/>
      <c r="C980" s="98"/>
      <c r="D980" s="98"/>
      <c r="E980" s="121"/>
      <c r="F980" s="98"/>
      <c r="G980" s="98"/>
      <c r="H980" s="98"/>
      <c r="I980" s="98"/>
      <c r="J980" s="98"/>
      <c r="K980" s="98"/>
      <c r="L980" s="98"/>
      <c r="M980" s="98"/>
      <c r="N980" s="98"/>
      <c r="O980" s="98"/>
      <c r="P980" s="98"/>
      <c r="Q980" s="98"/>
      <c r="R980" s="98"/>
      <c r="S980" s="98"/>
      <c r="T980" s="98"/>
      <c r="U980" s="98"/>
      <c r="V980" s="98"/>
      <c r="W980" s="98"/>
      <c r="X980" s="98"/>
      <c r="Y980" s="98"/>
      <c r="Z980" s="98"/>
      <c r="AA980" s="98"/>
      <c r="AB980" s="98"/>
      <c r="AC980" s="98"/>
    </row>
    <row r="981">
      <c r="A981" s="98"/>
      <c r="B981" s="98"/>
      <c r="C981" s="98"/>
      <c r="D981" s="98"/>
      <c r="E981" s="121"/>
      <c r="F981" s="98"/>
      <c r="G981" s="98"/>
      <c r="H981" s="98"/>
      <c r="I981" s="98"/>
      <c r="J981" s="98"/>
      <c r="K981" s="98"/>
      <c r="L981" s="98"/>
      <c r="M981" s="98"/>
      <c r="N981" s="98"/>
      <c r="O981" s="98"/>
      <c r="P981" s="98"/>
      <c r="Q981" s="98"/>
      <c r="R981" s="98"/>
      <c r="S981" s="98"/>
      <c r="T981" s="98"/>
      <c r="U981" s="98"/>
      <c r="V981" s="98"/>
      <c r="W981" s="98"/>
      <c r="X981" s="98"/>
      <c r="Y981" s="98"/>
      <c r="Z981" s="98"/>
      <c r="AA981" s="98"/>
      <c r="AB981" s="98"/>
      <c r="AC981" s="98"/>
    </row>
    <row r="982">
      <c r="A982" s="98"/>
      <c r="B982" s="98"/>
      <c r="C982" s="98"/>
      <c r="D982" s="98"/>
      <c r="E982" s="121"/>
      <c r="F982" s="98"/>
      <c r="G982" s="98"/>
      <c r="H982" s="98"/>
      <c r="I982" s="98"/>
      <c r="J982" s="98"/>
      <c r="K982" s="98"/>
      <c r="L982" s="98"/>
      <c r="M982" s="98"/>
      <c r="N982" s="98"/>
      <c r="O982" s="98"/>
      <c r="P982" s="98"/>
      <c r="Q982" s="98"/>
      <c r="R982" s="98"/>
      <c r="S982" s="98"/>
      <c r="T982" s="98"/>
      <c r="U982" s="98"/>
      <c r="V982" s="98"/>
      <c r="W982" s="98"/>
      <c r="X982" s="98"/>
      <c r="Y982" s="98"/>
      <c r="Z982" s="98"/>
      <c r="AA982" s="98"/>
      <c r="AB982" s="98"/>
      <c r="AC982" s="98"/>
    </row>
    <row r="983">
      <c r="A983" s="98"/>
      <c r="B983" s="98"/>
      <c r="C983" s="98"/>
      <c r="D983" s="98"/>
      <c r="E983" s="121"/>
      <c r="F983" s="98"/>
      <c r="G983" s="98"/>
      <c r="H983" s="98"/>
      <c r="I983" s="98"/>
      <c r="J983" s="98"/>
      <c r="K983" s="98"/>
      <c r="L983" s="98"/>
      <c r="M983" s="98"/>
      <c r="N983" s="98"/>
      <c r="O983" s="98"/>
      <c r="P983" s="98"/>
      <c r="Q983" s="98"/>
      <c r="R983" s="98"/>
      <c r="S983" s="98"/>
      <c r="T983" s="98"/>
      <c r="U983" s="98"/>
      <c r="V983" s="98"/>
      <c r="W983" s="98"/>
      <c r="X983" s="98"/>
      <c r="Y983" s="98"/>
      <c r="Z983" s="98"/>
      <c r="AA983" s="98"/>
      <c r="AB983" s="98"/>
      <c r="AC983" s="98"/>
    </row>
    <row r="984">
      <c r="A984" s="98"/>
      <c r="B984" s="98"/>
      <c r="C984" s="98"/>
      <c r="D984" s="98"/>
      <c r="E984" s="121"/>
      <c r="F984" s="98"/>
      <c r="G984" s="98"/>
      <c r="H984" s="98"/>
      <c r="I984" s="98"/>
      <c r="J984" s="98"/>
      <c r="K984" s="98"/>
      <c r="L984" s="98"/>
      <c r="M984" s="98"/>
      <c r="N984" s="98"/>
      <c r="O984" s="98"/>
      <c r="P984" s="98"/>
      <c r="Q984" s="98"/>
      <c r="R984" s="98"/>
      <c r="S984" s="98"/>
      <c r="T984" s="98"/>
      <c r="U984" s="98"/>
      <c r="V984" s="98"/>
      <c r="W984" s="98"/>
      <c r="X984" s="98"/>
      <c r="Y984" s="98"/>
      <c r="Z984" s="98"/>
      <c r="AA984" s="98"/>
      <c r="AB984" s="98"/>
      <c r="AC984" s="98"/>
    </row>
    <row r="985">
      <c r="A985" s="98"/>
      <c r="B985" s="98"/>
      <c r="C985" s="98"/>
      <c r="D985" s="98"/>
      <c r="E985" s="121"/>
      <c r="F985" s="98"/>
      <c r="G985" s="98"/>
      <c r="H985" s="98"/>
      <c r="I985" s="98"/>
      <c r="J985" s="98"/>
      <c r="K985" s="98"/>
      <c r="L985" s="98"/>
      <c r="M985" s="98"/>
      <c r="N985" s="98"/>
      <c r="O985" s="98"/>
      <c r="P985" s="98"/>
      <c r="Q985" s="98"/>
      <c r="R985" s="98"/>
      <c r="S985" s="98"/>
      <c r="T985" s="98"/>
      <c r="U985" s="98"/>
      <c r="V985" s="98"/>
      <c r="W985" s="98"/>
      <c r="X985" s="98"/>
      <c r="Y985" s="98"/>
      <c r="Z985" s="98"/>
      <c r="AA985" s="98"/>
      <c r="AB985" s="98"/>
      <c r="AC985" s="98"/>
    </row>
    <row r="986">
      <c r="A986" s="98"/>
      <c r="B986" s="98"/>
      <c r="C986" s="98"/>
      <c r="D986" s="98"/>
      <c r="E986" s="121"/>
      <c r="F986" s="98"/>
      <c r="G986" s="98"/>
      <c r="H986" s="98"/>
      <c r="I986" s="98"/>
      <c r="J986" s="98"/>
      <c r="K986" s="98"/>
      <c r="L986" s="98"/>
      <c r="M986" s="98"/>
      <c r="N986" s="98"/>
      <c r="O986" s="98"/>
      <c r="P986" s="98"/>
      <c r="Q986" s="98"/>
      <c r="R986" s="98"/>
      <c r="S986" s="98"/>
      <c r="T986" s="98"/>
      <c r="U986" s="98"/>
      <c r="V986" s="98"/>
      <c r="W986" s="98"/>
      <c r="X986" s="98"/>
      <c r="Y986" s="98"/>
      <c r="Z986" s="98"/>
      <c r="AA986" s="98"/>
      <c r="AB986" s="98"/>
      <c r="AC986" s="98"/>
    </row>
    <row r="987">
      <c r="A987" s="98"/>
      <c r="B987" s="98"/>
      <c r="C987" s="98"/>
      <c r="D987" s="98"/>
      <c r="E987" s="121"/>
      <c r="F987" s="98"/>
      <c r="G987" s="98"/>
      <c r="H987" s="98"/>
      <c r="I987" s="98"/>
      <c r="J987" s="98"/>
      <c r="K987" s="98"/>
      <c r="L987" s="98"/>
      <c r="M987" s="98"/>
      <c r="N987" s="98"/>
      <c r="O987" s="98"/>
      <c r="P987" s="98"/>
      <c r="Q987" s="98"/>
      <c r="R987" s="98"/>
      <c r="S987" s="98"/>
      <c r="T987" s="98"/>
      <c r="U987" s="98"/>
      <c r="V987" s="98"/>
      <c r="W987" s="98"/>
      <c r="X987" s="98"/>
      <c r="Y987" s="98"/>
      <c r="Z987" s="98"/>
      <c r="AA987" s="98"/>
      <c r="AB987" s="98"/>
      <c r="AC987" s="98"/>
    </row>
    <row r="988">
      <c r="A988" s="98"/>
      <c r="B988" s="98"/>
      <c r="C988" s="98"/>
      <c r="D988" s="98"/>
      <c r="E988" s="121"/>
      <c r="F988" s="98"/>
      <c r="G988" s="98"/>
      <c r="H988" s="98"/>
      <c r="I988" s="98"/>
      <c r="J988" s="98"/>
      <c r="K988" s="98"/>
      <c r="L988" s="98"/>
      <c r="M988" s="98"/>
      <c r="N988" s="98"/>
      <c r="O988" s="98"/>
      <c r="P988" s="98"/>
      <c r="Q988" s="98"/>
      <c r="R988" s="98"/>
      <c r="S988" s="98"/>
      <c r="T988" s="98"/>
      <c r="U988" s="98"/>
      <c r="V988" s="98"/>
      <c r="W988" s="98"/>
      <c r="X988" s="98"/>
      <c r="Y988" s="98"/>
      <c r="Z988" s="98"/>
      <c r="AA988" s="98"/>
      <c r="AB988" s="98"/>
      <c r="AC988" s="98"/>
    </row>
    <row r="989">
      <c r="A989" s="98"/>
      <c r="B989" s="98"/>
      <c r="C989" s="98"/>
      <c r="D989" s="98"/>
      <c r="E989" s="121"/>
      <c r="F989" s="98"/>
      <c r="G989" s="98"/>
      <c r="H989" s="98"/>
      <c r="I989" s="98"/>
      <c r="J989" s="98"/>
      <c r="K989" s="98"/>
      <c r="L989" s="98"/>
      <c r="M989" s="98"/>
      <c r="N989" s="98"/>
      <c r="O989" s="98"/>
      <c r="P989" s="98"/>
      <c r="Q989" s="98"/>
      <c r="R989" s="98"/>
      <c r="S989" s="98"/>
      <c r="T989" s="98"/>
      <c r="U989" s="98"/>
      <c r="V989" s="98"/>
      <c r="W989" s="98"/>
      <c r="X989" s="98"/>
      <c r="Y989" s="98"/>
      <c r="Z989" s="98"/>
      <c r="AA989" s="98"/>
      <c r="AB989" s="98"/>
      <c r="AC989" s="98"/>
    </row>
    <row r="990">
      <c r="A990" s="98"/>
      <c r="B990" s="98"/>
      <c r="C990" s="98"/>
      <c r="D990" s="98"/>
      <c r="E990" s="121"/>
      <c r="F990" s="98"/>
      <c r="G990" s="98"/>
      <c r="H990" s="98"/>
      <c r="I990" s="98"/>
      <c r="J990" s="98"/>
      <c r="K990" s="98"/>
      <c r="L990" s="98"/>
      <c r="M990" s="98"/>
      <c r="N990" s="98"/>
      <c r="O990" s="98"/>
      <c r="P990" s="98"/>
      <c r="Q990" s="98"/>
      <c r="R990" s="98"/>
      <c r="S990" s="98"/>
      <c r="T990" s="98"/>
      <c r="U990" s="98"/>
      <c r="V990" s="98"/>
      <c r="W990" s="98"/>
      <c r="X990" s="98"/>
      <c r="Y990" s="98"/>
      <c r="Z990" s="98"/>
      <c r="AA990" s="98"/>
      <c r="AB990" s="98"/>
      <c r="AC990" s="98"/>
    </row>
    <row r="991">
      <c r="A991" s="98"/>
      <c r="B991" s="98"/>
      <c r="C991" s="98"/>
      <c r="D991" s="98"/>
      <c r="E991" s="121"/>
      <c r="F991" s="98"/>
      <c r="G991" s="98"/>
      <c r="H991" s="98"/>
      <c r="I991" s="98"/>
      <c r="J991" s="98"/>
      <c r="K991" s="98"/>
      <c r="L991" s="98"/>
      <c r="M991" s="98"/>
      <c r="N991" s="98"/>
      <c r="O991" s="98"/>
      <c r="P991" s="98"/>
      <c r="Q991" s="98"/>
      <c r="R991" s="98"/>
      <c r="S991" s="98"/>
      <c r="T991" s="98"/>
      <c r="U991" s="98"/>
      <c r="V991" s="98"/>
      <c r="W991" s="98"/>
      <c r="X991" s="98"/>
      <c r="Y991" s="98"/>
      <c r="Z991" s="98"/>
      <c r="AA991" s="98"/>
      <c r="AB991" s="98"/>
      <c r="AC991" s="98"/>
    </row>
    <row r="992">
      <c r="A992" s="98"/>
      <c r="B992" s="98"/>
      <c r="C992" s="98"/>
      <c r="D992" s="98"/>
      <c r="E992" s="121"/>
      <c r="F992" s="98"/>
      <c r="G992" s="98"/>
      <c r="H992" s="98"/>
      <c r="I992" s="98"/>
      <c r="J992" s="98"/>
      <c r="K992" s="98"/>
      <c r="L992" s="98"/>
      <c r="M992" s="98"/>
      <c r="N992" s="98"/>
      <c r="O992" s="98"/>
      <c r="P992" s="98"/>
      <c r="Q992" s="98"/>
      <c r="R992" s="98"/>
      <c r="S992" s="98"/>
      <c r="T992" s="98"/>
      <c r="U992" s="98"/>
      <c r="V992" s="98"/>
      <c r="W992" s="98"/>
      <c r="X992" s="98"/>
      <c r="Y992" s="98"/>
      <c r="Z992" s="98"/>
      <c r="AA992" s="98"/>
      <c r="AB992" s="98"/>
      <c r="AC992" s="98"/>
    </row>
    <row r="993">
      <c r="A993" s="98"/>
      <c r="B993" s="98"/>
      <c r="C993" s="98"/>
      <c r="D993" s="98"/>
      <c r="E993" s="121"/>
      <c r="F993" s="98"/>
      <c r="G993" s="98"/>
      <c r="H993" s="98"/>
      <c r="I993" s="98"/>
      <c r="J993" s="98"/>
      <c r="K993" s="98"/>
      <c r="L993" s="98"/>
      <c r="M993" s="98"/>
      <c r="N993" s="98"/>
      <c r="O993" s="98"/>
      <c r="P993" s="98"/>
      <c r="Q993" s="98"/>
      <c r="R993" s="98"/>
      <c r="S993" s="98"/>
      <c r="T993" s="98"/>
      <c r="U993" s="98"/>
      <c r="V993" s="98"/>
      <c r="W993" s="98"/>
      <c r="X993" s="98"/>
      <c r="Y993" s="98"/>
      <c r="Z993" s="98"/>
      <c r="AA993" s="98"/>
      <c r="AB993" s="98"/>
      <c r="AC993" s="98"/>
    </row>
    <row r="994">
      <c r="A994" s="98"/>
      <c r="B994" s="98"/>
      <c r="C994" s="98"/>
      <c r="D994" s="98"/>
      <c r="E994" s="121"/>
      <c r="F994" s="98"/>
      <c r="G994" s="98"/>
      <c r="H994" s="98"/>
      <c r="I994" s="98"/>
      <c r="J994" s="98"/>
      <c r="K994" s="98"/>
      <c r="L994" s="98"/>
      <c r="M994" s="98"/>
      <c r="N994" s="98"/>
      <c r="O994" s="98"/>
      <c r="P994" s="98"/>
      <c r="Q994" s="98"/>
      <c r="R994" s="98"/>
      <c r="S994" s="98"/>
      <c r="T994" s="98"/>
      <c r="U994" s="98"/>
      <c r="V994" s="98"/>
      <c r="W994" s="98"/>
      <c r="X994" s="98"/>
      <c r="Y994" s="98"/>
      <c r="Z994" s="98"/>
      <c r="AA994" s="98"/>
      <c r="AB994" s="98"/>
      <c r="AC994" s="98"/>
    </row>
    <row r="995">
      <c r="A995" s="98"/>
      <c r="B995" s="98"/>
      <c r="C995" s="98"/>
      <c r="D995" s="98"/>
      <c r="E995" s="121"/>
      <c r="F995" s="98"/>
      <c r="G995" s="98"/>
      <c r="H995" s="98"/>
      <c r="I995" s="98"/>
      <c r="J995" s="98"/>
      <c r="K995" s="98"/>
      <c r="L995" s="98"/>
      <c r="M995" s="98"/>
      <c r="N995" s="98"/>
      <c r="O995" s="98"/>
      <c r="P995" s="98"/>
      <c r="Q995" s="98"/>
      <c r="R995" s="98"/>
      <c r="S995" s="98"/>
      <c r="T995" s="98"/>
      <c r="U995" s="98"/>
      <c r="V995" s="98"/>
      <c r="W995" s="98"/>
      <c r="X995" s="98"/>
      <c r="Y995" s="98"/>
      <c r="Z995" s="98"/>
      <c r="AA995" s="98"/>
      <c r="AB995" s="98"/>
      <c r="AC995" s="98"/>
    </row>
    <row r="996">
      <c r="A996" s="98"/>
      <c r="B996" s="98"/>
      <c r="C996" s="98"/>
      <c r="D996" s="98"/>
      <c r="E996" s="121"/>
      <c r="F996" s="98"/>
      <c r="G996" s="98"/>
      <c r="H996" s="98"/>
      <c r="I996" s="98"/>
      <c r="J996" s="98"/>
      <c r="K996" s="98"/>
      <c r="L996" s="98"/>
      <c r="M996" s="98"/>
      <c r="N996" s="98"/>
      <c r="O996" s="98"/>
      <c r="P996" s="98"/>
      <c r="Q996" s="98"/>
      <c r="R996" s="98"/>
      <c r="S996" s="98"/>
      <c r="T996" s="98"/>
      <c r="U996" s="98"/>
      <c r="V996" s="98"/>
      <c r="W996" s="98"/>
      <c r="X996" s="98"/>
      <c r="Y996" s="98"/>
      <c r="Z996" s="98"/>
      <c r="AA996" s="98"/>
      <c r="AB996" s="98"/>
      <c r="AC996" s="98"/>
    </row>
    <row r="997">
      <c r="A997" s="98"/>
      <c r="B997" s="98"/>
      <c r="C997" s="98"/>
      <c r="D997" s="98"/>
      <c r="E997" s="121"/>
      <c r="F997" s="98"/>
      <c r="G997" s="98"/>
      <c r="H997" s="98"/>
      <c r="I997" s="98"/>
      <c r="J997" s="98"/>
      <c r="K997" s="98"/>
      <c r="L997" s="98"/>
      <c r="M997" s="98"/>
      <c r="N997" s="98"/>
      <c r="O997" s="98"/>
      <c r="P997" s="98"/>
      <c r="Q997" s="98"/>
      <c r="R997" s="98"/>
      <c r="S997" s="98"/>
      <c r="T997" s="98"/>
      <c r="U997" s="98"/>
      <c r="V997" s="98"/>
      <c r="W997" s="98"/>
      <c r="X997" s="98"/>
      <c r="Y997" s="98"/>
      <c r="Z997" s="98"/>
      <c r="AA997" s="98"/>
      <c r="AB997" s="98"/>
      <c r="AC997" s="98"/>
    </row>
    <row r="998">
      <c r="A998" s="98"/>
      <c r="B998" s="98"/>
      <c r="C998" s="98"/>
      <c r="D998" s="98"/>
      <c r="E998" s="121"/>
      <c r="F998" s="98"/>
      <c r="G998" s="98"/>
      <c r="H998" s="98"/>
      <c r="I998" s="98"/>
      <c r="J998" s="98"/>
      <c r="K998" s="98"/>
      <c r="L998" s="98"/>
      <c r="M998" s="98"/>
      <c r="N998" s="98"/>
      <c r="O998" s="98"/>
      <c r="P998" s="98"/>
      <c r="Q998" s="98"/>
      <c r="R998" s="98"/>
      <c r="S998" s="98"/>
      <c r="T998" s="98"/>
      <c r="U998" s="98"/>
      <c r="V998" s="98"/>
      <c r="W998" s="98"/>
      <c r="X998" s="98"/>
      <c r="Y998" s="98"/>
      <c r="Z998" s="98"/>
      <c r="AA998" s="98"/>
      <c r="AB998" s="98"/>
      <c r="AC998" s="98"/>
    </row>
    <row r="999">
      <c r="A999" s="98"/>
      <c r="B999" s="98"/>
      <c r="C999" s="98"/>
      <c r="D999" s="98"/>
      <c r="E999" s="121"/>
      <c r="F999" s="98"/>
      <c r="G999" s="98"/>
      <c r="H999" s="98"/>
      <c r="I999" s="98"/>
      <c r="J999" s="98"/>
      <c r="K999" s="98"/>
      <c r="L999" s="98"/>
      <c r="M999" s="98"/>
      <c r="N999" s="98"/>
      <c r="O999" s="98"/>
      <c r="P999" s="98"/>
      <c r="Q999" s="98"/>
      <c r="R999" s="98"/>
      <c r="S999" s="98"/>
      <c r="T999" s="98"/>
      <c r="U999" s="98"/>
      <c r="V999" s="98"/>
      <c r="W999" s="98"/>
      <c r="X999" s="98"/>
      <c r="Y999" s="98"/>
      <c r="Z999" s="98"/>
      <c r="AA999" s="98"/>
      <c r="AB999" s="98"/>
      <c r="AC999" s="98"/>
    </row>
    <row r="1000">
      <c r="A1000" s="98"/>
      <c r="B1000" s="98"/>
      <c r="C1000" s="98"/>
      <c r="D1000" s="98"/>
      <c r="E1000" s="121"/>
      <c r="F1000" s="98"/>
      <c r="G1000" s="98"/>
      <c r="H1000" s="98"/>
      <c r="I1000" s="98"/>
      <c r="J1000" s="98"/>
      <c r="K1000" s="98"/>
      <c r="L1000" s="98"/>
      <c r="M1000" s="98"/>
      <c r="N1000" s="98"/>
      <c r="O1000" s="98"/>
      <c r="P1000" s="98"/>
      <c r="Q1000" s="98"/>
      <c r="R1000" s="98"/>
      <c r="S1000" s="98"/>
      <c r="T1000" s="98"/>
      <c r="U1000" s="98"/>
      <c r="V1000" s="98"/>
      <c r="W1000" s="98"/>
      <c r="X1000" s="98"/>
      <c r="Y1000" s="98"/>
      <c r="Z1000" s="98"/>
      <c r="AA1000" s="98"/>
      <c r="AB1000" s="98"/>
      <c r="AC1000" s="98"/>
    </row>
    <row r="1001">
      <c r="A1001" s="98"/>
      <c r="B1001" s="98"/>
      <c r="C1001" s="98"/>
      <c r="D1001" s="98"/>
      <c r="E1001" s="121"/>
      <c r="F1001" s="98"/>
      <c r="G1001" s="98"/>
      <c r="H1001" s="98"/>
      <c r="I1001" s="98"/>
      <c r="J1001" s="98"/>
      <c r="K1001" s="98"/>
      <c r="L1001" s="98"/>
      <c r="M1001" s="98"/>
      <c r="N1001" s="98"/>
      <c r="O1001" s="98"/>
      <c r="P1001" s="98"/>
      <c r="Q1001" s="98"/>
      <c r="R1001" s="98"/>
      <c r="S1001" s="98"/>
      <c r="T1001" s="98"/>
      <c r="U1001" s="98"/>
      <c r="V1001" s="98"/>
      <c r="W1001" s="98"/>
      <c r="X1001" s="98"/>
      <c r="Y1001" s="98"/>
      <c r="Z1001" s="98"/>
      <c r="AA1001" s="98"/>
      <c r="AB1001" s="98"/>
      <c r="AC1001" s="98"/>
    </row>
    <row r="1002">
      <c r="A1002" s="98"/>
      <c r="B1002" s="98"/>
      <c r="C1002" s="98"/>
      <c r="D1002" s="98"/>
      <c r="E1002" s="121"/>
      <c r="F1002" s="98"/>
      <c r="G1002" s="98"/>
      <c r="H1002" s="98"/>
      <c r="I1002" s="98"/>
      <c r="J1002" s="98"/>
      <c r="K1002" s="98"/>
      <c r="L1002" s="98"/>
      <c r="M1002" s="98"/>
      <c r="N1002" s="98"/>
      <c r="O1002" s="98"/>
      <c r="P1002" s="98"/>
      <c r="Q1002" s="98"/>
      <c r="R1002" s="98"/>
      <c r="S1002" s="98"/>
      <c r="T1002" s="98"/>
      <c r="U1002" s="98"/>
      <c r="V1002" s="98"/>
      <c r="W1002" s="98"/>
      <c r="X1002" s="98"/>
      <c r="Y1002" s="98"/>
      <c r="Z1002" s="98"/>
      <c r="AA1002" s="98"/>
      <c r="AB1002" s="98"/>
      <c r="AC1002" s="98"/>
    </row>
    <row r="1003">
      <c r="A1003" s="98"/>
      <c r="B1003" s="98"/>
      <c r="C1003" s="98"/>
      <c r="D1003" s="98"/>
      <c r="E1003" s="121"/>
      <c r="F1003" s="98"/>
      <c r="G1003" s="98"/>
      <c r="H1003" s="98"/>
      <c r="I1003" s="98"/>
      <c r="J1003" s="98"/>
      <c r="K1003" s="98"/>
      <c r="L1003" s="98"/>
      <c r="M1003" s="98"/>
      <c r="N1003" s="98"/>
      <c r="O1003" s="98"/>
      <c r="P1003" s="98"/>
      <c r="Q1003" s="98"/>
      <c r="R1003" s="98"/>
      <c r="S1003" s="98"/>
      <c r="T1003" s="98"/>
      <c r="U1003" s="98"/>
      <c r="V1003" s="98"/>
      <c r="W1003" s="98"/>
      <c r="X1003" s="98"/>
      <c r="Y1003" s="98"/>
      <c r="Z1003" s="98"/>
      <c r="AA1003" s="98"/>
      <c r="AB1003" s="98"/>
      <c r="AC1003" s="98"/>
    </row>
    <row r="1004">
      <c r="A1004" s="98"/>
      <c r="B1004" s="98"/>
      <c r="C1004" s="98"/>
      <c r="D1004" s="98"/>
      <c r="E1004" s="121"/>
      <c r="F1004" s="98"/>
      <c r="G1004" s="98"/>
      <c r="H1004" s="98"/>
      <c r="I1004" s="98"/>
      <c r="J1004" s="98"/>
      <c r="K1004" s="98"/>
      <c r="L1004" s="98"/>
      <c r="M1004" s="98"/>
      <c r="N1004" s="98"/>
      <c r="O1004" s="98"/>
      <c r="P1004" s="98"/>
      <c r="Q1004" s="98"/>
      <c r="R1004" s="98"/>
      <c r="S1004" s="98"/>
      <c r="T1004" s="98"/>
      <c r="U1004" s="98"/>
      <c r="V1004" s="98"/>
      <c r="W1004" s="98"/>
      <c r="X1004" s="98"/>
      <c r="Y1004" s="98"/>
      <c r="Z1004" s="98"/>
      <c r="AA1004" s="98"/>
      <c r="AB1004" s="98"/>
      <c r="AC1004" s="98"/>
    </row>
    <row r="1005">
      <c r="A1005" s="98"/>
      <c r="B1005" s="98"/>
      <c r="C1005" s="98"/>
      <c r="D1005" s="98"/>
      <c r="E1005" s="121"/>
      <c r="F1005" s="98"/>
      <c r="G1005" s="98"/>
      <c r="H1005" s="98"/>
      <c r="I1005" s="98"/>
      <c r="J1005" s="98"/>
      <c r="K1005" s="98"/>
      <c r="L1005" s="98"/>
      <c r="M1005" s="98"/>
      <c r="N1005" s="98"/>
      <c r="O1005" s="98"/>
      <c r="P1005" s="98"/>
      <c r="Q1005" s="98"/>
      <c r="R1005" s="98"/>
      <c r="S1005" s="98"/>
      <c r="T1005" s="98"/>
      <c r="U1005" s="98"/>
      <c r="V1005" s="98"/>
      <c r="W1005" s="98"/>
      <c r="X1005" s="98"/>
      <c r="Y1005" s="98"/>
      <c r="Z1005" s="98"/>
      <c r="AA1005" s="98"/>
      <c r="AB1005" s="98"/>
      <c r="AC1005" s="98"/>
    </row>
    <row r="1006">
      <c r="A1006" s="98"/>
      <c r="B1006" s="98"/>
      <c r="C1006" s="98"/>
      <c r="D1006" s="98"/>
      <c r="E1006" s="121"/>
      <c r="F1006" s="98"/>
      <c r="G1006" s="98"/>
      <c r="H1006" s="98"/>
      <c r="I1006" s="98"/>
      <c r="J1006" s="98"/>
      <c r="K1006" s="98"/>
      <c r="L1006" s="98"/>
      <c r="M1006" s="98"/>
      <c r="N1006" s="98"/>
      <c r="O1006" s="98"/>
      <c r="P1006" s="98"/>
      <c r="Q1006" s="98"/>
      <c r="R1006" s="98"/>
      <c r="S1006" s="98"/>
      <c r="T1006" s="98"/>
      <c r="U1006" s="98"/>
      <c r="V1006" s="98"/>
      <c r="W1006" s="98"/>
      <c r="X1006" s="98"/>
      <c r="Y1006" s="98"/>
      <c r="Z1006" s="98"/>
      <c r="AA1006" s="98"/>
      <c r="AB1006" s="98"/>
      <c r="AC1006" s="98"/>
    </row>
  </sheetData>
  <customSheetViews>
    <customSheetView guid="{AA74A519-B95B-49EF-8B25-E9D3BF3B0FDD}" filter="1" showAutoFilter="1">
      <autoFilter ref="$A$2:$L$34"/>
    </customSheetView>
  </customSheetViews>
  <mergeCells count="5">
    <mergeCell ref="A3:A15"/>
    <mergeCell ref="A16:A20"/>
    <mergeCell ref="A21:A23"/>
    <mergeCell ref="A24:A29"/>
    <mergeCell ref="A31:A34"/>
  </mergeCells>
  <conditionalFormatting sqref="I2:K1006">
    <cfRule type="expression" dxfId="1" priority="1">
      <formula>$I2="1 - Insuffisant"</formula>
    </cfRule>
  </conditionalFormatting>
  <conditionalFormatting sqref="I2:K1006">
    <cfRule type="expression" dxfId="2" priority="2" stopIfTrue="1">
      <formula>$I2="2 - Émergent"</formula>
    </cfRule>
  </conditionalFormatting>
  <conditionalFormatting sqref="I2:K1006">
    <cfRule type="expression" dxfId="3" priority="3" stopIfTrue="1">
      <formula>$I2="3 - Intermédiaire"</formula>
    </cfRule>
  </conditionalFormatting>
  <conditionalFormatting sqref="I2:K1006">
    <cfRule type="expression" dxfId="4" priority="4" stopIfTrue="1">
      <formula>$I2="4 - Confirmé"</formula>
    </cfRule>
  </conditionalFormatting>
  <conditionalFormatting sqref="I2:K1006">
    <cfRule type="expression" dxfId="5" priority="5" stopIfTrue="1">
      <formula>$I2="5 - Optimal"</formula>
    </cfRule>
  </conditionalFormatting>
  <conditionalFormatting sqref="I2:K1006">
    <cfRule type="expression" dxfId="6" priority="6" stopIfTrue="1">
      <formula>$I2="Non applicable"</formula>
    </cfRule>
  </conditionalFormatting>
  <conditionalFormatting sqref="J3:K34">
    <cfRule type="expression" dxfId="7" priority="7">
      <formula>$I3="Défini"</formula>
    </cfRule>
  </conditionalFormatting>
  <conditionalFormatting sqref="J3:K34">
    <cfRule type="expression" dxfId="8" priority="8">
      <formula>$I3="Informel"</formula>
    </cfRule>
  </conditionalFormatting>
  <conditionalFormatting sqref="J3:K34">
    <cfRule type="expression" dxfId="5" priority="9">
      <formula>$I3="Maîtrisé"</formula>
    </cfRule>
  </conditionalFormatting>
  <conditionalFormatting sqref="J3:K34">
    <cfRule type="expression" dxfId="9" priority="10">
      <formula>$I3="Inexistant"</formula>
    </cfRule>
  </conditionalFormatting>
  <conditionalFormatting sqref="J3:K34">
    <cfRule type="expression" dxfId="10" priority="11">
      <formula>$I3="N/A"</formula>
    </cfRule>
  </conditionalFormatting>
  <dataValidations>
    <dataValidation type="list" allowBlank="1" sqref="I3:I34">
      <formula1>'Echelle de maturité'!$C$2:$C$7</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38"/>
    <col customWidth="1" min="2" max="4" width="12.63"/>
    <col customWidth="1" min="5" max="5" width="14.38"/>
    <col customWidth="1" min="9" max="9" width="12.63"/>
    <col customWidth="1" min="10" max="10" width="35.13"/>
    <col customWidth="1" min="11" max="11" width="19.88"/>
  </cols>
  <sheetData>
    <row r="1">
      <c r="A1" s="122"/>
      <c r="B1" s="122"/>
      <c r="C1" s="122"/>
      <c r="D1" s="122"/>
      <c r="G1" s="16" t="s">
        <v>34</v>
      </c>
      <c r="H1" s="16" t="s">
        <v>224</v>
      </c>
    </row>
    <row r="2">
      <c r="G2" s="16" t="s">
        <v>407</v>
      </c>
      <c r="H2" s="25">
        <f>COUNTIF(DORA!I:I,"1 - Insuffisant")</f>
        <v>2</v>
      </c>
    </row>
    <row r="3">
      <c r="G3" s="16" t="s">
        <v>408</v>
      </c>
      <c r="H3" s="25">
        <f>COUNTIF(DORA!I:I,"2 - Émergent")</f>
        <v>6</v>
      </c>
    </row>
    <row r="4">
      <c r="G4" s="16" t="s">
        <v>409</v>
      </c>
      <c r="H4" s="25">
        <f>COUNTIF(DORA!I:I,"3 - Intermédiaire")</f>
        <v>3</v>
      </c>
    </row>
    <row r="5">
      <c r="G5" s="16" t="s">
        <v>410</v>
      </c>
      <c r="H5" s="25">
        <f>COUNTIF(DORA!I:I,"4 - Confirmé")</f>
        <v>9</v>
      </c>
    </row>
    <row r="6">
      <c r="G6" s="16" t="s">
        <v>411</v>
      </c>
      <c r="H6" s="25">
        <f>COUNTIF(DORA!I:I,"5 - Optimal")</f>
        <v>11</v>
      </c>
    </row>
    <row r="7">
      <c r="G7" s="16" t="s">
        <v>60</v>
      </c>
      <c r="H7" s="25">
        <f>COUNTIF(DORA!I:I,"Non applicable")</f>
        <v>1</v>
      </c>
    </row>
    <row r="25">
      <c r="A25" s="25" t="str">
        <f>IFERROR(__xludf.DUMMYFUNCTION("QUERY({SCAN("""", DORA!A3:A34, LAMBDA(acc, val, IF(val="""", acc, val))), DORA!C3:C34}, ""SELECT Col1, COUNT(Col2) WHERE Col1 IS NOT NULL GROUP BY Col1 LABEL Col1 'Domaine', COUNT(Col2) """"Nombre d'exigences"""""")"),"Domaine")</f>
        <v>Domaine</v>
      </c>
      <c r="B25" s="25" t="str">
        <f>IFERROR(__xludf.DUMMYFUNCTION("""COMPUTED_VALUE"""),"Nombre d'exigences")</f>
        <v>Nombre d'exigences</v>
      </c>
    </row>
    <row r="26">
      <c r="A26" s="25" t="str">
        <f>IFERROR(__xludf.DUMMYFUNCTION("""COMPUTED_VALUE"""),"I. GESTION DES RISQUES TIC")</f>
        <v>I. GESTION DES RISQUES TIC</v>
      </c>
      <c r="B26" s="25">
        <f>IFERROR(__xludf.DUMMYFUNCTION("""COMPUTED_VALUE"""),13.0)</f>
        <v>13</v>
      </c>
    </row>
    <row r="27">
      <c r="A27" s="25" t="str">
        <f>IFERROR(__xludf.DUMMYFUNCTION("""COMPUTED_VALUE"""),"II. GESTION, CLASSIFICATION ET SIGNALEMENT DES INCIDENTS LIÉS AUX TIC")</f>
        <v>II. GESTION, CLASSIFICATION ET SIGNALEMENT DES INCIDENTS LIÉS AUX TIC</v>
      </c>
      <c r="B27" s="25">
        <f>IFERROR(__xludf.DUMMYFUNCTION("""COMPUTED_VALUE"""),5.0)</f>
        <v>5</v>
      </c>
    </row>
    <row r="28">
      <c r="A28" s="25" t="str">
        <f>IFERROR(__xludf.DUMMYFUNCTION("""COMPUTED_VALUE"""),"III. TESTS DE RÉSILIENCE OPÉRATIONNELLE NUMÉRIQUE")</f>
        <v>III. TESTS DE RÉSILIENCE OPÉRATIONNELLE NUMÉRIQUE</v>
      </c>
      <c r="B28" s="25">
        <f>IFERROR(__xludf.DUMMYFUNCTION("""COMPUTED_VALUE"""),3.0)</f>
        <v>3</v>
      </c>
    </row>
    <row r="29">
      <c r="A29" s="25" t="str">
        <f>IFERROR(__xludf.DUMMYFUNCTION("""COMPUTED_VALUE"""),"IV. GESTION DES RISQUES LIÉS AUX PRESTATAIRES TIERS DE SERVICES TIC")</f>
        <v>IV. GESTION DES RISQUES LIÉS AUX PRESTATAIRES TIERS DE SERVICES TIC</v>
      </c>
      <c r="B29" s="25">
        <f>IFERROR(__xludf.DUMMYFUNCTION("""COMPUTED_VALUE"""),6.0)</f>
        <v>6</v>
      </c>
    </row>
    <row r="30">
      <c r="A30" s="25" t="str">
        <f>IFERROR(__xludf.DUMMYFUNCTION("""COMPUTED_VALUE"""),"V. PARTAGE D'INFORMATIONS")</f>
        <v>V. PARTAGE D'INFORMATIONS</v>
      </c>
      <c r="B30" s="25">
        <f>IFERROR(__xludf.DUMMYFUNCTION("""COMPUTED_VALUE"""),1.0)</f>
        <v>1</v>
      </c>
    </row>
    <row r="31">
      <c r="A31" s="25" t="str">
        <f>IFERROR(__xludf.DUMMYFUNCTION("""COMPUTED_VALUE"""),"VI. APPRENTISSAGE ET EVOLUTION")</f>
        <v>VI. APPRENTISSAGE ET EVOLUTION</v>
      </c>
      <c r="B31" s="25">
        <f>IFERROR(__xludf.DUMMYFUNCTION("""COMPUTED_VALUE"""),4.0)</f>
        <v>4</v>
      </c>
    </row>
    <row r="47">
      <c r="J47" s="123" t="str">
        <f>IFERROR(__xludf.DUMMYFUNCTION("QUERY({SCAN("""", DORA!A3:A34, LAMBDA(acc, val, IF(val="""", acc, val))), DORA!G3:G34}, ""SELECT Col1, Col2, COUNT(Col2) WHERE Col2 IS NOT NULL GROUP BY Col1, Col2 LABEL Col1 'Domaine', Col2 'Fonction sécurité', COUNT(Col2) 'Nombre'"")"),"Domaine")</f>
        <v>Domaine</v>
      </c>
      <c r="K47" s="123" t="str">
        <f>IFERROR(__xludf.DUMMYFUNCTION("""COMPUTED_VALUE"""),"Fonction sécurité")</f>
        <v>Fonction sécurité</v>
      </c>
      <c r="L47" s="123" t="str">
        <f>IFERROR(__xludf.DUMMYFUNCTION("""COMPUTED_VALUE"""),"Nombre")</f>
        <v>Nombre</v>
      </c>
      <c r="M47" s="123" t="s">
        <v>412</v>
      </c>
    </row>
    <row r="48">
      <c r="J48" s="124" t="str">
        <f>IFERROR(__xludf.DUMMYFUNCTION("""COMPUTED_VALUE"""),"I. GESTION DES RISQUES TIC")</f>
        <v>I. GESTION DES RISQUES TIC</v>
      </c>
      <c r="K48" s="125" t="str">
        <f>IFERROR(__xludf.DUMMYFUNCTION("""COMPUTED_VALUE"""),"Détecter")</f>
        <v>Détecter</v>
      </c>
      <c r="L48" s="125">
        <f>IFERROR(__xludf.DUMMYFUNCTION("""COMPUTED_VALUE"""),1.0)</f>
        <v>1</v>
      </c>
      <c r="M48" s="126">
        <f>SUM(L48:L54)</f>
        <v>13</v>
      </c>
    </row>
    <row r="49">
      <c r="J49" s="26"/>
      <c r="K49" s="125" t="str">
        <f>IFERROR(__xludf.DUMMYFUNCTION("""COMPUTED_VALUE"""),"Gouverner")</f>
        <v>Gouverner</v>
      </c>
      <c r="L49" s="125">
        <f>IFERROR(__xludf.DUMMYFUNCTION("""COMPUTED_VALUE"""),5.0)</f>
        <v>5</v>
      </c>
      <c r="M49" s="26"/>
    </row>
    <row r="50">
      <c r="J50" s="26"/>
      <c r="K50" s="125" t="str">
        <f>IFERROR(__xludf.DUMMYFUNCTION("""COMPUTED_VALUE"""),"Gouverner / Évaluer")</f>
        <v>Gouverner / Évaluer</v>
      </c>
      <c r="L50" s="125">
        <f>IFERROR(__xludf.DUMMYFUNCTION("""COMPUTED_VALUE"""),1.0)</f>
        <v>1</v>
      </c>
      <c r="M50" s="26"/>
    </row>
    <row r="51">
      <c r="J51" s="26"/>
      <c r="K51" s="125" t="str">
        <f>IFERROR(__xludf.DUMMYFUNCTION("""COMPUTED_VALUE"""),"Identifier")</f>
        <v>Identifier</v>
      </c>
      <c r="L51" s="125">
        <f>IFERROR(__xludf.DUMMYFUNCTION("""COMPUTED_VALUE"""),1.0)</f>
        <v>1</v>
      </c>
      <c r="M51" s="26"/>
    </row>
    <row r="52">
      <c r="J52" s="26"/>
      <c r="K52" s="125" t="str">
        <f>IFERROR(__xludf.DUMMYFUNCTION("""COMPUTED_VALUE"""),"Protéger")</f>
        <v>Protéger</v>
      </c>
      <c r="L52" s="125">
        <f>IFERROR(__xludf.DUMMYFUNCTION("""COMPUTED_VALUE"""),2.0)</f>
        <v>2</v>
      </c>
      <c r="M52" s="26"/>
    </row>
    <row r="53">
      <c r="J53" s="26"/>
      <c r="K53" s="125" t="str">
        <f>IFERROR(__xludf.DUMMYFUNCTION("""COMPUTED_VALUE"""),"Récupérer")</f>
        <v>Récupérer</v>
      </c>
      <c r="L53" s="125">
        <f>IFERROR(__xludf.DUMMYFUNCTION("""COMPUTED_VALUE"""),1.0)</f>
        <v>1</v>
      </c>
      <c r="M53" s="26"/>
    </row>
    <row r="54">
      <c r="J54" s="27"/>
      <c r="K54" s="125" t="str">
        <f>IFERROR(__xludf.DUMMYFUNCTION("""COMPUTED_VALUE"""),"Répondre / Récupérer")</f>
        <v>Répondre / Récupérer</v>
      </c>
      <c r="L54" s="125">
        <f>IFERROR(__xludf.DUMMYFUNCTION("""COMPUTED_VALUE"""),2.0)</f>
        <v>2</v>
      </c>
      <c r="M54" s="27"/>
    </row>
    <row r="55">
      <c r="J55" s="124" t="str">
        <f>IFERROR(__xludf.DUMMYFUNCTION("""COMPUTED_VALUE"""),"II. GESTION, CLASSIFICATION ET SIGNALEMENT DES INCIDENTS LIÉS AUX TIC")</f>
        <v>II. GESTION, CLASSIFICATION ET SIGNALEMENT DES INCIDENTS LIÉS AUX TIC</v>
      </c>
      <c r="K55" s="125" t="str">
        <f>IFERROR(__xludf.DUMMYFUNCTION("""COMPUTED_VALUE"""),"Identifier / Répondre")</f>
        <v>Identifier / Répondre</v>
      </c>
      <c r="L55" s="125">
        <f>IFERROR(__xludf.DUMMYFUNCTION("""COMPUTED_VALUE"""),1.0)</f>
        <v>1</v>
      </c>
      <c r="M55" s="126">
        <f>SUM(L55:L59)</f>
        <v>5</v>
      </c>
    </row>
    <row r="56">
      <c r="J56" s="26"/>
      <c r="K56" s="125" t="str">
        <f>IFERROR(__xludf.DUMMYFUNCTION("""COMPUTED_VALUE"""),"Notifier")</f>
        <v>Notifier</v>
      </c>
      <c r="L56" s="125">
        <f>IFERROR(__xludf.DUMMYFUNCTION("""COMPUTED_VALUE"""),1.0)</f>
        <v>1</v>
      </c>
      <c r="M56" s="26"/>
    </row>
    <row r="57">
      <c r="J57" s="26"/>
      <c r="K57" s="125" t="str">
        <f>IFERROR(__xludf.DUMMYFUNCTION("""COMPUTED_VALUE"""),"Récupérer")</f>
        <v>Récupérer</v>
      </c>
      <c r="L57" s="125">
        <f>IFERROR(__xludf.DUMMYFUNCTION("""COMPUTED_VALUE"""),1.0)</f>
        <v>1</v>
      </c>
      <c r="M57" s="26"/>
    </row>
    <row r="58">
      <c r="J58" s="26"/>
      <c r="K58" s="125" t="str">
        <f>IFERROR(__xludf.DUMMYFUNCTION("""COMPUTED_VALUE"""),"Répondre")</f>
        <v>Répondre</v>
      </c>
      <c r="L58" s="125">
        <f>IFERROR(__xludf.DUMMYFUNCTION("""COMPUTED_VALUE"""),1.0)</f>
        <v>1</v>
      </c>
      <c r="M58" s="26"/>
    </row>
    <row r="59">
      <c r="J59" s="27"/>
      <c r="K59" s="125" t="str">
        <f>IFERROR(__xludf.DUMMYFUNCTION("""COMPUTED_VALUE"""),"Évaluer")</f>
        <v>Évaluer</v>
      </c>
      <c r="L59" s="125">
        <f>IFERROR(__xludf.DUMMYFUNCTION("""COMPUTED_VALUE"""),1.0)</f>
        <v>1</v>
      </c>
      <c r="M59" s="27"/>
    </row>
    <row r="60">
      <c r="J60" s="124" t="str">
        <f>IFERROR(__xludf.DUMMYFUNCTION("""COMPUTED_VALUE"""),"III. TESTS DE RÉSILIENCE OPÉRATIONNELLE NUMÉRIQUE")</f>
        <v>III. TESTS DE RÉSILIENCE OPÉRATIONNELLE NUMÉRIQUE</v>
      </c>
      <c r="K60" s="125" t="str">
        <f>IFERROR(__xludf.DUMMYFUNCTION("""COMPUTED_VALUE"""),"Améliorer")</f>
        <v>Améliorer</v>
      </c>
      <c r="L60" s="125">
        <f>IFERROR(__xludf.DUMMYFUNCTION("""COMPUTED_VALUE"""),1.0)</f>
        <v>1</v>
      </c>
      <c r="M60" s="126">
        <f>SUM(L60:L61)</f>
        <v>3</v>
      </c>
    </row>
    <row r="61" ht="19.5" customHeight="1">
      <c r="J61" s="27"/>
      <c r="K61" s="125" t="str">
        <f>IFERROR(__xludf.DUMMYFUNCTION("""COMPUTED_VALUE"""),"Évaluer")</f>
        <v>Évaluer</v>
      </c>
      <c r="L61" s="125">
        <f>IFERROR(__xludf.DUMMYFUNCTION("""COMPUTED_VALUE"""),2.0)</f>
        <v>2</v>
      </c>
      <c r="M61" s="27"/>
    </row>
    <row r="62">
      <c r="J62" s="124" t="str">
        <f>IFERROR(__xludf.DUMMYFUNCTION("""COMPUTED_VALUE"""),"IV. GESTION DES RISQUES LIÉS AUX PRESTATAIRES TIERS DE SERVICES TIC")</f>
        <v>IV. GESTION DES RISQUES LIÉS AUX PRESTATAIRES TIERS DE SERVICES TIC</v>
      </c>
      <c r="K62" s="125" t="str">
        <f>IFERROR(__xludf.DUMMYFUNCTION("""COMPUTED_VALUE"""),"Contrôler")</f>
        <v>Contrôler</v>
      </c>
      <c r="L62" s="125">
        <f>IFERROR(__xludf.DUMMYFUNCTION("""COMPUTED_VALUE"""),1.0)</f>
        <v>1</v>
      </c>
      <c r="M62" s="126">
        <f>SUM(L62:L67)</f>
        <v>6</v>
      </c>
    </row>
    <row r="63">
      <c r="J63" s="26"/>
      <c r="K63" s="125" t="str">
        <f>IFERROR(__xludf.DUMMYFUNCTION("""COMPUTED_VALUE"""),"Gouverner")</f>
        <v>Gouverner</v>
      </c>
      <c r="L63" s="125">
        <f>IFERROR(__xludf.DUMMYFUNCTION("""COMPUTED_VALUE"""),1.0)</f>
        <v>1</v>
      </c>
      <c r="M63" s="26"/>
    </row>
    <row r="64">
      <c r="J64" s="26"/>
      <c r="K64" s="125" t="str">
        <f>IFERROR(__xludf.DUMMYFUNCTION("""COMPUTED_VALUE"""),"Gouverner / Évaluer")</f>
        <v>Gouverner / Évaluer</v>
      </c>
      <c r="L64" s="125">
        <f>IFERROR(__xludf.DUMMYFUNCTION("""COMPUTED_VALUE"""),1.0)</f>
        <v>1</v>
      </c>
      <c r="M64" s="26"/>
    </row>
    <row r="65">
      <c r="J65" s="26"/>
      <c r="K65" s="125" t="str">
        <f>IFERROR(__xludf.DUMMYFUNCTION("""COMPUTED_VALUE"""),"Identifier")</f>
        <v>Identifier</v>
      </c>
      <c r="L65" s="125">
        <f>IFERROR(__xludf.DUMMYFUNCTION("""COMPUTED_VALUE"""),1.0)</f>
        <v>1</v>
      </c>
      <c r="M65" s="26"/>
    </row>
    <row r="66">
      <c r="J66" s="26"/>
      <c r="K66" s="125" t="str">
        <f>IFERROR(__xludf.DUMMYFUNCTION("""COMPUTED_VALUE"""),"Récupérer")</f>
        <v>Récupérer</v>
      </c>
      <c r="L66" s="125">
        <f>IFERROR(__xludf.DUMMYFUNCTION("""COMPUTED_VALUE"""),1.0)</f>
        <v>1</v>
      </c>
      <c r="M66" s="26"/>
    </row>
    <row r="67">
      <c r="J67" s="27"/>
      <c r="K67" s="125" t="str">
        <f>IFERROR(__xludf.DUMMYFUNCTION("""COMPUTED_VALUE"""),"Évaluer")</f>
        <v>Évaluer</v>
      </c>
      <c r="L67" s="125">
        <f>IFERROR(__xludf.DUMMYFUNCTION("""COMPUTED_VALUE"""),1.0)</f>
        <v>1</v>
      </c>
      <c r="M67" s="27"/>
    </row>
    <row r="68">
      <c r="J68" s="127" t="str">
        <f>IFERROR(__xludf.DUMMYFUNCTION("""COMPUTED_VALUE"""),"V. PARTAGE D'INFORMATIONS")</f>
        <v>V. PARTAGE D'INFORMATIONS</v>
      </c>
      <c r="K68" s="125" t="str">
        <f>IFERROR(__xludf.DUMMYFUNCTION("""COMPUTED_VALUE"""),"Protéger / Répondre")</f>
        <v>Protéger / Répondre</v>
      </c>
      <c r="L68" s="125">
        <f>IFERROR(__xludf.DUMMYFUNCTION("""COMPUTED_VALUE"""),1.0)</f>
        <v>1</v>
      </c>
      <c r="M68" s="128">
        <f>SUM(L68)</f>
        <v>1</v>
      </c>
    </row>
    <row r="69">
      <c r="J69" s="124" t="str">
        <f>IFERROR(__xludf.DUMMYFUNCTION("""COMPUTED_VALUE"""),"VI. APPRENTISSAGE ET EVOLUTION")</f>
        <v>VI. APPRENTISSAGE ET EVOLUTION</v>
      </c>
      <c r="K69" s="125" t="str">
        <f>IFERROR(__xludf.DUMMYFUNCTION("""COMPUTED_VALUE"""),"Améliorer")</f>
        <v>Améliorer</v>
      </c>
      <c r="L69" s="125">
        <f>IFERROR(__xludf.DUMMYFUNCTION("""COMPUTED_VALUE"""),2.0)</f>
        <v>2</v>
      </c>
      <c r="M69" s="126">
        <f>SUM(L69:L71)</f>
        <v>4</v>
      </c>
    </row>
    <row r="70">
      <c r="J70" s="26"/>
      <c r="K70" s="125" t="str">
        <f>IFERROR(__xludf.DUMMYFUNCTION("""COMPUTED_VALUE"""),"Améliorer / Détecter")</f>
        <v>Améliorer / Détecter</v>
      </c>
      <c r="L70" s="125">
        <f>IFERROR(__xludf.DUMMYFUNCTION("""COMPUTED_VALUE"""),1.0)</f>
        <v>1</v>
      </c>
      <c r="M70" s="26"/>
    </row>
    <row r="71">
      <c r="J71" s="27"/>
      <c r="K71" s="125" t="str">
        <f>IFERROR(__xludf.DUMMYFUNCTION("""COMPUTED_VALUE"""),"Sensibiliser")</f>
        <v>Sensibiliser</v>
      </c>
      <c r="L71" s="125">
        <f>IFERROR(__xludf.DUMMYFUNCTION("""COMPUTED_VALUE"""),1.0)</f>
        <v>1</v>
      </c>
      <c r="M71" s="27"/>
    </row>
    <row r="72">
      <c r="J72" s="129" t="s">
        <v>413</v>
      </c>
      <c r="K72" s="130"/>
      <c r="L72" s="131">
        <f>SUM(M48:M71)</f>
        <v>32</v>
      </c>
      <c r="M72" s="130"/>
    </row>
    <row r="73">
      <c r="J73" s="132"/>
      <c r="K73" s="133"/>
      <c r="L73" s="132"/>
      <c r="M73" s="133"/>
    </row>
    <row r="74">
      <c r="J74" s="134"/>
      <c r="K74" s="135"/>
      <c r="L74" s="134"/>
      <c r="M74" s="135"/>
    </row>
    <row r="75">
      <c r="J75" s="136"/>
    </row>
    <row r="76">
      <c r="J76" s="136"/>
    </row>
    <row r="77">
      <c r="J77" s="136"/>
    </row>
    <row r="78">
      <c r="J78" s="136"/>
    </row>
    <row r="79">
      <c r="J79" s="136"/>
    </row>
  </sheetData>
  <mergeCells count="12">
    <mergeCell ref="J62:J67"/>
    <mergeCell ref="J69:J71"/>
    <mergeCell ref="M69:M71"/>
    <mergeCell ref="J72:K74"/>
    <mergeCell ref="L72:M74"/>
    <mergeCell ref="J48:J54"/>
    <mergeCell ref="M48:M54"/>
    <mergeCell ref="J55:J59"/>
    <mergeCell ref="M55:M59"/>
    <mergeCell ref="J60:J61"/>
    <mergeCell ref="M60:M61"/>
    <mergeCell ref="M62:M67"/>
  </mergeCells>
  <printOptions gridLines="1" horizontalCentered="1"/>
  <pageMargins bottom="0.75" footer="0.0" header="0.0" left="0.7" right="0.7" top="0.75"/>
  <pageSetup fitToHeight="0" paperSize="9" cellComments="atEnd"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4A5A"/>
    <outlinePr summaryBelow="0" summaryRight="0"/>
    <pageSetUpPr fitToPage="1"/>
  </sheetPr>
  <sheetViews>
    <sheetView workbookViewId="0"/>
  </sheetViews>
  <sheetFormatPr customHeight="1" defaultColWidth="12.63" defaultRowHeight="15.75"/>
  <cols>
    <col customWidth="1" min="1" max="1" width="62.0"/>
    <col customWidth="1" min="2" max="2" width="8.5"/>
    <col customWidth="1" min="3" max="3" width="62.88"/>
    <col customWidth="1" min="4" max="4" width="77.38"/>
    <col customWidth="1" min="5" max="5" width="86.5"/>
    <col customWidth="1" min="6" max="6" width="21.5"/>
    <col customWidth="1" min="7" max="7" width="67.25"/>
    <col customWidth="1" min="8" max="8" width="79.75"/>
    <col hidden="1" min="10" max="10" width="12.63"/>
  </cols>
  <sheetData>
    <row r="1" ht="30.0" customHeight="1">
      <c r="A1" s="137"/>
      <c r="B1" s="138"/>
      <c r="C1" s="138"/>
      <c r="D1" s="139"/>
      <c r="E1" s="138"/>
      <c r="F1" s="139"/>
      <c r="G1" s="138"/>
      <c r="H1" s="138"/>
      <c r="I1" s="140"/>
      <c r="J1" s="141"/>
      <c r="K1" s="140"/>
      <c r="L1" s="140"/>
      <c r="M1" s="140"/>
      <c r="N1" s="140"/>
      <c r="O1" s="140"/>
      <c r="P1" s="140"/>
      <c r="Q1" s="140"/>
      <c r="R1" s="140"/>
      <c r="S1" s="140"/>
      <c r="T1" s="140"/>
      <c r="U1" s="140"/>
      <c r="V1" s="140"/>
      <c r="W1" s="140"/>
      <c r="X1" s="140"/>
      <c r="Y1" s="140"/>
      <c r="Z1" s="140"/>
    </row>
    <row r="2" ht="49.5" customHeight="1">
      <c r="A2" s="142" t="s">
        <v>225</v>
      </c>
      <c r="B2" s="143" t="s">
        <v>28</v>
      </c>
      <c r="C2" s="143" t="s">
        <v>227</v>
      </c>
      <c r="D2" s="144" t="s">
        <v>414</v>
      </c>
      <c r="E2" s="143" t="s">
        <v>232</v>
      </c>
      <c r="F2" s="144" t="s">
        <v>34</v>
      </c>
      <c r="G2" s="145" t="s">
        <v>35</v>
      </c>
      <c r="H2" s="143" t="s">
        <v>415</v>
      </c>
      <c r="I2" s="140"/>
      <c r="J2" s="141" t="s">
        <v>416</v>
      </c>
      <c r="K2" s="140"/>
      <c r="L2" s="140"/>
      <c r="M2" s="140"/>
      <c r="N2" s="140"/>
      <c r="O2" s="140"/>
      <c r="P2" s="140"/>
      <c r="Q2" s="140"/>
      <c r="R2" s="140"/>
      <c r="S2" s="140"/>
      <c r="T2" s="140"/>
      <c r="U2" s="140"/>
      <c r="V2" s="140"/>
      <c r="W2" s="140"/>
      <c r="X2" s="140"/>
      <c r="Y2" s="140"/>
      <c r="Z2" s="140"/>
    </row>
    <row r="3" ht="75.0" customHeight="1">
      <c r="A3" s="146" t="s">
        <v>417</v>
      </c>
      <c r="B3" s="147">
        <v>1.0</v>
      </c>
      <c r="C3" s="107" t="s">
        <v>418</v>
      </c>
      <c r="D3" s="107" t="s">
        <v>419</v>
      </c>
      <c r="E3" s="107" t="s">
        <v>420</v>
      </c>
      <c r="F3" s="91" t="s">
        <v>13</v>
      </c>
      <c r="G3" s="24" t="str">
        <f t="array" ref="G3">IF(F3="", "", IFERROR(INDEX('Echelle de maturité'!$B$2:$B$7, MATCH(F3, 'Echelle de maturité'!$C$2:$C$7, 0)), ""))</f>
        <v>Des objectifs de réduction des risques cyber intégrés à la stratégie de l'organisation. Des moyens humains, budgétaires conséquents, un plan d'action cyber exhaustif, adapté aux menaces stratégiques.</v>
      </c>
      <c r="H3" s="24" t="str">
        <f>IF($F3="1 - Insuffisant",
"Réaliser une analyse d'assujettissement NIS2 en identifiant les secteurs concernés, les entités, les sites et les services critiques. Formaliser les résultats dans un document validé par la direction.",
IF($F3="2 - Émergent",
"Structurer et documenter l'analyse d'assujettissement. Définir précisément le périmètre concerné, identifier les services critiques et formaliser les critères de qualification retenus.",
IF($F3="3 - Intermédiaire",
"Compléter la cartographie des services critiques, consolider les justifications d'assujettissement et mettre en place un processus formel de validation et de revue périodique.",
IF($F3="4 - Confirmé",
"Maintenir la revue régulière de l'analyse d'assujettissement, mettre à jour le périmètre lors des évolutions de l'organisation et conserver les preuves de validation et de suivi.",
IF($F3="5 - Optimal",
"Assurer une amélioration continue du processus d'assujettissement NIS2, intégrer les évolutions réglementaires et organisationnelles dans les mécanismes de gouvernance et renforcer les indicateurs de pilotage associés.",
IF($F3="Non applicable",
"Non applicable.",
""))))))</f>
        <v>Assurer une amélioration continue du processus d'assujettissement NIS2, intégrer les évolutions réglementaires et organisationnelles dans les mécanismes de gouvernance et renforcer les indicateurs de pilotage associés.</v>
      </c>
      <c r="I3" s="140"/>
      <c r="J3" s="140" t="str">
        <f>IFERROR(__xludf.DUMMYFUNCTION("ARRAYFORMULA(LET(filled, SCAN("""", A3:A35, LAMBDA(acc, v, IF(v="""", acc, v))), IF(filled="""","""", TEXT(MATCH(filled, UNIQUE(FILTER(A3:A35, A3:A35&lt;&gt;"""")), 0), ""00"") &amp; "" - "" &amp; filled)))"),"01 - Gouvernance")</f>
        <v>01 - Gouvernance</v>
      </c>
      <c r="K3" s="140"/>
      <c r="L3" s="140"/>
      <c r="M3" s="140"/>
      <c r="N3" s="140"/>
      <c r="O3" s="140"/>
      <c r="P3" s="140"/>
      <c r="Q3" s="140"/>
      <c r="R3" s="140"/>
      <c r="S3" s="140"/>
      <c r="T3" s="140"/>
      <c r="U3" s="140"/>
      <c r="V3" s="140"/>
      <c r="W3" s="140"/>
      <c r="X3" s="140"/>
      <c r="Y3" s="140"/>
      <c r="Z3" s="140"/>
    </row>
    <row r="4" ht="75.0" customHeight="1">
      <c r="A4" s="26"/>
      <c r="B4" s="147">
        <v>2.0</v>
      </c>
      <c r="C4" s="107" t="s">
        <v>421</v>
      </c>
      <c r="D4" s="148" t="s">
        <v>422</v>
      </c>
      <c r="E4" s="107" t="s">
        <v>423</v>
      </c>
      <c r="F4" s="91" t="s">
        <v>9</v>
      </c>
      <c r="G4" s="24" t="str">
        <f t="array" ref="G4">IF(F4="", "", IFERROR(INDEX('Echelle de maturité'!$B$2:$B$7, MATCH(F4, 'Echelle de maturité'!$C$2:$C$7, 0)), ""))</f>
        <v>Une conscience partagée des risques cyber pour l'organisation et la volonté de formaliser un plan d'action cyber complet tout en ajustant les moyens en conséquence.</v>
      </c>
      <c r="H4" s="24" t="str">
        <f>IF($F4="1 - Insuffisant",
"Désigner un responsable cybersécurité (RSSI ou équivalent), identifier les principales responsabilités de sécurité et formaliser les missions essentielles dans un document validé par la direction.",
IF($F4="2 - Émergent",
"Formaliser les rôles existants, définir les responsabilités clés en matière de cybersécurité, établir un organigramme fonctionnel et documenter les premiers éléments d'une matrice RACI.",
IF($F4="3 - Intermédiaire",
"Compléter les fiches de poste et la matrice RACI, préciser les responsabilités de pilotage, d'exploitation, de contrôle et d'escalade, puis assurer leur diffusion et leur compréhension par les parties prenantes.",
IF($F4="4 - Confirmé",
"Maintenir à jour les rôles, responsabilités et la matrice RACI, réaliser des revues périodiques et adapter la gouvernance cybersécurité aux évolutions de l'organisation, du système d'information et des prestataires.",
IF($F4="5 - Optimal",
"Renforcer l'amélioration continue de la gouvernance cybersécurité en évaluant régulièrement l'efficacité des responsabilités attribuées, en intégrant les retours d'expérience et en alignant les rôles sur les objectifs stratégiques de gestion des risques.",
IF($F4="Non applicable",
"Non applicable.",
""))))))</f>
        <v>Compléter les fiches de poste et la matrice RACI, préciser les responsabilités de pilotage, d'exploitation, de contrôle et d'escalade, puis assurer leur diffusion et leur compréhension par les parties prenantes.</v>
      </c>
      <c r="I4" s="140"/>
      <c r="J4" s="140" t="str">
        <f>IFERROR(__xludf.DUMMYFUNCTION("""COMPUTED_VALUE"""),"01 - Gouvernance")</f>
        <v>01 - Gouvernance</v>
      </c>
      <c r="K4" s="140"/>
      <c r="L4" s="140"/>
      <c r="M4" s="140"/>
      <c r="N4" s="140"/>
      <c r="O4" s="140"/>
      <c r="P4" s="140"/>
      <c r="Q4" s="140"/>
      <c r="R4" s="140"/>
      <c r="S4" s="140"/>
      <c r="T4" s="140"/>
      <c r="U4" s="140"/>
      <c r="V4" s="140"/>
      <c r="W4" s="140"/>
      <c r="X4" s="140"/>
      <c r="Y4" s="140"/>
      <c r="Z4" s="140"/>
    </row>
    <row r="5" ht="81.0" customHeight="1">
      <c r="A5" s="26"/>
      <c r="B5" s="147">
        <v>3.0</v>
      </c>
      <c r="C5" s="107" t="s">
        <v>424</v>
      </c>
      <c r="D5" s="107" t="s">
        <v>425</v>
      </c>
      <c r="E5" s="107" t="s">
        <v>426</v>
      </c>
      <c r="F5" s="91" t="s">
        <v>13</v>
      </c>
      <c r="G5" s="149" t="str">
        <f t="array" ref="G5">IF(F5="", "", IFERROR(INDEX('Echelle de maturité'!$B$2:$B$7, MATCH(F5, 'Echelle de maturité'!$C$2:$C$7, 0)), ""))</f>
        <v>Des objectifs de réduction des risques cyber intégrés à la stratégie de l'organisation. Des moyens humains, budgétaires conséquents, un plan d'action cyber exhaustif, adapté aux menaces stratégiques.</v>
      </c>
      <c r="H5" s="149" t="str">
        <f>IF($F5="1 - Insuffisant",
"Mettre en place une gouvernance cybersécurité impliquant la direction, définir une fréquence de pilotage, formaliser les comptes rendus de réunion et initier le suivi des actions prioritaires ainsi que des ressources nécessaires.",
IF($F5="2 - Émergent",
"Formaliser les instances de gouvernance, définir les rôles des participants, documenter les décisions prises et mettre en place un premier tableau de bord de suivi des risques et actions cybersécurité.",
IF($F5="3 - Intermédiaire",
"Renforcer le pilotage en définissant des indicateurs de performance et de risque pertinents, en assurant le suivi systématique des plans d'actions et en intégrant la planification budgétaire aux processus de gouvernance.",
IF($F5="4 - Confirmé",
"Maintenir et améliorer le dispositif de pilotage en analysant les tendances des indicateurs, en intégrant les résultats des audits, incidents et exercices, et en ajustant régulièrement les priorités de sécurité.",
IF($F5="5 - Optimal",
"Développer une démarche d'amélioration continue fondée sur les indicateurs stratégiques de risque, l'anticipation des menaces émergentes et l'alignement permanent des investissements cybersécurité avec les objectifs de l'organisation.",
IF($F5="Non applicable",
"Non applicable.",
""))))))</f>
        <v>Développer une démarche d'amélioration continue fondée sur les indicateurs stratégiques de risque, l'anticipation des menaces émergentes et l'alignement permanent des investissements cybersécurité avec les objectifs de l'organisation.</v>
      </c>
      <c r="I5" s="140"/>
      <c r="J5" s="140" t="str">
        <f>IFERROR(__xludf.DUMMYFUNCTION("""COMPUTED_VALUE"""),"01 - Gouvernance")</f>
        <v>01 - Gouvernance</v>
      </c>
      <c r="K5" s="140"/>
      <c r="L5" s="140"/>
      <c r="M5" s="140"/>
      <c r="N5" s="140"/>
      <c r="O5" s="140"/>
      <c r="P5" s="140"/>
      <c r="Q5" s="140"/>
      <c r="R5" s="140"/>
      <c r="S5" s="140"/>
      <c r="T5" s="140"/>
      <c r="U5" s="140"/>
      <c r="V5" s="140"/>
      <c r="W5" s="140"/>
      <c r="X5" s="140"/>
      <c r="Y5" s="140"/>
      <c r="Z5" s="140"/>
    </row>
    <row r="6" ht="75.0" customHeight="1">
      <c r="A6" s="27"/>
      <c r="B6" s="147">
        <v>4.0</v>
      </c>
      <c r="C6" s="107" t="s">
        <v>427</v>
      </c>
      <c r="D6" s="107" t="s">
        <v>428</v>
      </c>
      <c r="E6" s="107" t="s">
        <v>429</v>
      </c>
      <c r="F6" s="91" t="s">
        <v>9</v>
      </c>
      <c r="G6" s="24" t="str">
        <f t="array" ref="G6">IF(F6="", "", IFERROR(INDEX('Echelle de maturité'!$B$2:$B$7, MATCH(F6, 'Echelle de maturité'!$C$2:$C$7, 0)), ""))</f>
        <v>Une conscience partagée des risques cyber pour l'organisation et la volonté de formaliser un plan d'action cyber complet tout en ajustant les moyens en conséquence.</v>
      </c>
      <c r="H6" s="24" t="str">
        <f>IF($F6="1 - Insuffisant",
"Rédiger une PSSI ainsi que les politiques et procédures cybersécurité essentielles (gestion des accès, mots de passe, sauvegardes, gestion des incidents, fournisseurs, cloud), puis les faire approuver par la direction et diffuser aux parties prenantes con"&amp;"cernées.",
IF($F6="2 - Émergent",
"Formaliser et structurer le corpus documentaire cybersécurité, définir les responsabilités de gestion documentaire, dater les documents et obtenir une validation formelle de la direction.",
IF($F6="3 - Intermédiaire",
"Compléter le corpus documentaire afin de couvrir l'ensemble des domaines cybersécurité pertinents, organiser sa diffusion aux collaborateurs concernés et mettre en place un processus de revue périodique documenté.",
IF($F6="4 - Confirmé",
"Maintenir les politiques et procédures à jour, réaliser des revues régulières, vérifier leur application opérationnelle et assurer la traçabilité des validations et mises à jour.",
IF($F6="5 - Optimal",
"Mettre en œuvre une démarche d'amélioration continue du référentiel documentaire en l'alignant sur l'évolution des risques, des exigences réglementaires et des objectifs stratégiques de l'organisation, tout en mesurant son niveau d'appropriation et son ef"&amp;"ficacité.",
IF($F6="Non applicable",
"Non applicable.",
""))))))</f>
        <v>Compléter le corpus documentaire afin de couvrir l'ensemble des domaines cybersécurité pertinents, organiser sa diffusion aux collaborateurs concernés et mettre en place un processus de revue périodique documenté.</v>
      </c>
      <c r="I6" s="140"/>
      <c r="J6" s="140" t="str">
        <f>IFERROR(__xludf.DUMMYFUNCTION("""COMPUTED_VALUE"""),"01 - Gouvernance")</f>
        <v>01 - Gouvernance</v>
      </c>
      <c r="K6" s="140"/>
      <c r="L6" s="140"/>
      <c r="M6" s="140"/>
      <c r="N6" s="140"/>
      <c r="O6" s="140"/>
      <c r="P6" s="140"/>
      <c r="Q6" s="140"/>
      <c r="R6" s="140"/>
      <c r="S6" s="140"/>
      <c r="T6" s="140"/>
      <c r="U6" s="140"/>
      <c r="V6" s="140"/>
      <c r="W6" s="140"/>
      <c r="X6" s="140"/>
      <c r="Y6" s="140"/>
      <c r="Z6" s="140"/>
    </row>
    <row r="7" ht="75.0" customHeight="1">
      <c r="A7" s="150" t="s">
        <v>430</v>
      </c>
      <c r="B7" s="147">
        <v>5.0</v>
      </c>
      <c r="C7" s="151" t="s">
        <v>431</v>
      </c>
      <c r="D7" s="151" t="s">
        <v>432</v>
      </c>
      <c r="E7" s="151" t="s">
        <v>433</v>
      </c>
      <c r="F7" s="91" t="s">
        <v>16</v>
      </c>
      <c r="G7" s="24" t="str">
        <f t="array" ref="G7">IF(F7="", "", IFERROR(INDEX('Echelle de maturité'!$B$2:$B$7, MATCH(F7, 'Echelle de maturité'!$C$2:$C$7, 0)), ""))</f>
        <v>Le critère ou l'exigence évalué n'est pas pertinent au regard des activités, du périmètre technique ou du cadre réglementaire de l'organisation.</v>
      </c>
      <c r="H7" s="24" t="str">
        <f>IF($F7="1 - Insuffisant",
"Définir une méthodologie de gestion des risques cybersécurité (ISO 27005, EBIOS RM ou équivalent), identifier les principaux risques cyber de l'organisation et mettre en place un registre des risques ainsi qu'un plan de traitement initial.",
IF($F7="2 - Émergent",
"Formaliser la démarche de gestion des risques, documenter les critères d'évaluation (impact, vraisemblance, criticité), consolider le registre des risques et attribuer les responsabilités de traitement.",
IF($F7="3 - Intermédiaire",
"Étendre l'analyse des risques à l'ensemble des activités, processus et actifs critiques, homogénéiser les méthodes d'évaluation et assurer le suivi régulier des plans de traitement et des risques résiduels.",
IF($F7="4 - Confirmé",
"Maintenir la revue périodique des risques, intégrer les résultats des audits, incidents et évolutions du contexte de menace, et suivre des indicateurs permettant de piloter l'efficacité du traitement des risques.",
IF($F7="5 - Optimal",
"Renforcer l'amélioration continue du dispositif de gestion des risques en intégrant les risques cyber à la gouvernance globale de l'organisation, en anticipant les menaces émergentes et en utilisant les résultats pour orienter les décisions stratégiques e"&amp;"t les investissements de sécurité.",
IF($F7="Non applicable",
"Non applicable.",
""))))))</f>
        <v>Non applicable.</v>
      </c>
      <c r="I7" s="140"/>
      <c r="J7" s="140" t="str">
        <f>IFERROR(__xludf.DUMMYFUNCTION("""COMPUTED_VALUE"""),"02 - Gestion des risques")</f>
        <v>02 - Gestion des risques</v>
      </c>
      <c r="K7" s="140"/>
      <c r="L7" s="140"/>
      <c r="M7" s="140"/>
      <c r="N7" s="140"/>
      <c r="O7" s="140"/>
      <c r="P7" s="140"/>
      <c r="Q7" s="140"/>
      <c r="R7" s="140"/>
      <c r="S7" s="140"/>
      <c r="T7" s="140"/>
      <c r="U7" s="140"/>
      <c r="V7" s="140"/>
      <c r="W7" s="140"/>
      <c r="X7" s="140"/>
      <c r="Y7" s="140"/>
      <c r="Z7" s="140"/>
    </row>
    <row r="8" ht="70.5" customHeight="1">
      <c r="A8" s="26"/>
      <c r="B8" s="147">
        <v>6.0</v>
      </c>
      <c r="C8" s="151" t="s">
        <v>434</v>
      </c>
      <c r="D8" s="151" t="s">
        <v>435</v>
      </c>
      <c r="E8" s="151" t="s">
        <v>436</v>
      </c>
      <c r="F8" s="91" t="s">
        <v>11</v>
      </c>
      <c r="G8" s="24" t="str">
        <f t="array" ref="G8">IF(F8="", "", IFERROR(INDEX('Echelle de maturité'!$B$2:$B$7, MATCH(F8, 'Echelle de maturité'!$C$2:$C$7, 0)), ""))</f>
        <v>Une cartographie précise de ses risques cyber pour l'organisation, un plan d'action cyber approfondi et des moyens humains et budgétaires dédiés.</v>
      </c>
      <c r="H8" s="24" t="str">
        <f>IF($F8="1 - Insuffisant",
"Mettre en place un inventaire centralisé des actifs (matériels, logiciels, services cloud et actifs critiques), identifier leurs propriétaires et définir un processus de mise à jour avec responsabilités clairement attribuées.",
IF($F8="2 - Émergent",
"Formaliser la gestion de l'inventaire en centralisant les informations dans un outil dédié ou un référentiel unique, compléter les informations essentielles sur les actifs et planifier des mises à jour régulières.",
IF($F8="3 - Intermédiaire",
"Étendre l'inventaire à l'ensemble des actifs du périmètre, y compris les services cloud, applications métier et fournisseurs critiques, et améliorer la fiabilité des données grâce à des processus de contrôle et de mise à jour structurés.",
IF($F8="4 - Confirmé",
"Maintenir la qualité et l'exhaustivité de l'inventaire par des revues périodiques, des contrôles réguliers et son intégration avec les processus de gestion des vulnérabilités, des correctifs et des changements.",
IF($F8="5 - Optimal",
"Optimiser la gestion des actifs en automatisant la découverte et la mise à jour des inventaires, en suivant des indicateurs de qualité et de couverture, et en intégrant l'inventaire aux processus stratégiques de gestion des risques et de pilotage de la cy"&amp;"bersécurité.",
IF($F8="Non applicable",
"Non applicable.",
""))))))</f>
        <v>Maintenir la qualité et l'exhaustivité de l'inventaire par des revues périodiques, des contrôles réguliers et son intégration avec les processus de gestion des vulnérabilités, des correctifs et des changements.</v>
      </c>
      <c r="I8" s="140"/>
      <c r="J8" s="140" t="str">
        <f>IFERROR(__xludf.DUMMYFUNCTION("""COMPUTED_VALUE"""),"02 - Gestion des risques")</f>
        <v>02 - Gestion des risques</v>
      </c>
      <c r="K8" s="140"/>
      <c r="L8" s="140"/>
      <c r="M8" s="140"/>
      <c r="N8" s="140"/>
      <c r="O8" s="140"/>
      <c r="P8" s="140"/>
      <c r="Q8" s="140"/>
      <c r="R8" s="140"/>
      <c r="S8" s="140"/>
      <c r="T8" s="140"/>
      <c r="U8" s="140"/>
      <c r="V8" s="140"/>
      <c r="W8" s="140"/>
      <c r="X8" s="140"/>
      <c r="Y8" s="140"/>
      <c r="Z8" s="140"/>
    </row>
    <row r="9" ht="66.0" customHeight="1">
      <c r="A9" s="26"/>
      <c r="B9" s="147">
        <v>7.0</v>
      </c>
      <c r="C9" s="151" t="s">
        <v>437</v>
      </c>
      <c r="D9" s="151" t="s">
        <v>438</v>
      </c>
      <c r="E9" s="151" t="s">
        <v>439</v>
      </c>
      <c r="F9" s="91" t="s">
        <v>13</v>
      </c>
      <c r="G9" s="152" t="str">
        <f t="array" ref="G9">IF(F9="", "", IFERROR(INDEX('Echelle de maturité'!$B$2:$B$7, MATCH(F9, 'Echelle de maturité'!$C$2:$C$7, 0)), ""))</f>
        <v>Des objectifs de réduction des risques cyber intégrés à la stratégie de l'organisation. Des moyens humains, budgétaires conséquents, un plan d'action cyber exhaustif, adapté aux menaces stratégiques.</v>
      </c>
      <c r="H9" s="24" t="str">
        <f>IF($F9="1 - Insuffisant",
"Définir une politique de classification des données, identifier les informations sensibles et formaliser les règles de protection, de stockage, de partage et d'accès.",
IF($F9="2 - Émergent",
"Initier la classification des données les plus critiques, sensibiliser les utilisateurs et documenter les premières règles de gestion et de protection des informations.",
IF($F9="3 - Intermédiaire",
"Étendre la classification à l'ensemble des données du périmètre, mettre en œuvre des mesures de protection adaptées et assurer leur application de manière cohérente.",
IF($F9="4 - Confirmé",
"Contrôler régulièrement l'application de la classification, renforcer les mesures de protection et intégrer la gestion des données dans les processus de gestion des risques.",
IF($F9="5 - Optimal",
"Optimiser la gouvernance des données par l'automatisation de la classification, le suivi d'indicateurs de conformité et l'amélioration continue des mesures de protection en fonction des risques et des évolutions réglementaires.",
IF($F9="Non applicable",
"Non applicable.",
""))))))</f>
        <v>Optimiser la gouvernance des données par l'automatisation de la classification, le suivi d'indicateurs de conformité et l'amélioration continue des mesures de protection en fonction des risques et des évolutions réglementaires.</v>
      </c>
      <c r="I9" s="140"/>
      <c r="J9" s="140" t="str">
        <f>IFERROR(__xludf.DUMMYFUNCTION("""COMPUTED_VALUE"""),"02 - Gestion des risques")</f>
        <v>02 - Gestion des risques</v>
      </c>
      <c r="K9" s="140"/>
      <c r="L9" s="140"/>
      <c r="M9" s="140"/>
      <c r="N9" s="140"/>
      <c r="O9" s="140"/>
      <c r="P9" s="140"/>
      <c r="Q9" s="140"/>
      <c r="R9" s="140"/>
      <c r="S9" s="140"/>
      <c r="T9" s="140"/>
      <c r="U9" s="140"/>
      <c r="V9" s="140"/>
      <c r="W9" s="140"/>
      <c r="X9" s="140"/>
      <c r="Y9" s="140"/>
      <c r="Z9" s="140"/>
    </row>
    <row r="10" ht="75.0" customHeight="1">
      <c r="A10" s="26"/>
      <c r="B10" s="147">
        <v>8.0</v>
      </c>
      <c r="C10" s="151" t="s">
        <v>440</v>
      </c>
      <c r="D10" s="151" t="s">
        <v>441</v>
      </c>
      <c r="E10" s="151" t="s">
        <v>442</v>
      </c>
      <c r="F10" s="91" t="s">
        <v>13</v>
      </c>
      <c r="G10" s="24" t="str">
        <f t="array" ref="G10">IF(F10="", "", IFERROR(INDEX('Echelle de maturité'!$B$2:$B$7, MATCH(F10, 'Echelle de maturité'!$C$2:$C$7, 0)), ""))</f>
        <v>Des objectifs de réduction des risques cyber intégrés à la stratégie de l'organisation. Des moyens humains, budgétaires conséquents, un plan d'action cyber exhaustif, adapté aux menaces stratégiques.</v>
      </c>
      <c r="H10" s="24" t="str">
        <f>IF($F10="1 - Insuffisant",
"Mettre en place un processus de gestion des vulnérabilités, réaliser des scans réguliers des actifs exposés, identifier les vulnérabilités critiques et définir les responsabilités de traitement.",
IF($F10="2 - Émergent",
"Formaliser le processus de gestion des vulnérabilités en définissant les méthodes de détection, les critères de priorisation, le workflow de correction et les responsabilités associées.",
IF($F10="3 - Intermédiaire",
"Étendre la couverture des analyses à l'ensemble du périmètre concerné (serveurs, postes de travail, équipements réseau, services cloud et applications), formaliser les délais de traitement selon la criticité et assurer le suivi des actions correctives.",
IF($F10="4 - Confirmé",
"Maintenir une surveillance régulière des vulnérabilités, suivre les corrections au travers d'indicateurs de performance, gérer formellement les exceptions et intégrer les résultats aux processus de gestion des risques et de gestion des changements.",
IF($F10="5 - Optimal",
"Optimiser la gestion des vulnérabilités par l'automatisation des détections et des remédiations lorsque cela est pertinent, piloter l'activité à l'aide d'indicateurs avancés et adapter en continu les priorités en fonction de l'évolution des menaces et de "&amp;"l'exposition aux risques.",
IF($F10="Non applicable",
"Non applicable.",
""))))))</f>
        <v>Optimiser la gestion des vulnérabilités par l'automatisation des détections et des remédiations lorsque cela est pertinent, piloter l'activité à l'aide d'indicateurs avancés et adapter en continu les priorités en fonction de l'évolution des menaces et de l'exposition aux risques.</v>
      </c>
      <c r="I10" s="140"/>
      <c r="J10" s="140" t="str">
        <f>IFERROR(__xludf.DUMMYFUNCTION("""COMPUTED_VALUE"""),"02 - Gestion des risques")</f>
        <v>02 - Gestion des risques</v>
      </c>
      <c r="K10" s="140"/>
      <c r="L10" s="140"/>
      <c r="M10" s="140"/>
      <c r="N10" s="140"/>
      <c r="O10" s="140"/>
      <c r="P10" s="140"/>
      <c r="Q10" s="140"/>
      <c r="R10" s="140"/>
      <c r="S10" s="140"/>
      <c r="T10" s="140"/>
      <c r="U10" s="140"/>
      <c r="V10" s="140"/>
      <c r="W10" s="140"/>
      <c r="X10" s="140"/>
      <c r="Y10" s="140"/>
      <c r="Z10" s="140"/>
    </row>
    <row r="11" ht="72.0" customHeight="1">
      <c r="A11" s="27"/>
      <c r="B11" s="147">
        <v>9.0</v>
      </c>
      <c r="C11" s="151" t="s">
        <v>443</v>
      </c>
      <c r="D11" s="151" t="s">
        <v>444</v>
      </c>
      <c r="E11" s="151" t="s">
        <v>445</v>
      </c>
      <c r="F11" s="91" t="s">
        <v>9</v>
      </c>
      <c r="G11" s="24" t="str">
        <f t="array" ref="G11">IF(F11="", "", IFERROR(INDEX('Echelle de maturité'!$B$2:$B$7, MATCH(F11, 'Echelle de maturité'!$C$2:$C$7, 0)), ""))</f>
        <v>Une conscience partagée des risques cyber pour l'organisation et la volonté de formaliser un plan d'action cyber complet tout en ajustant les moyens en conséquence.</v>
      </c>
      <c r="H11" s="24" t="str">
        <f>IF($F11="1 - Insuffisant",
"Définir un processus de gestion des correctifs de sécurité, identifier les actifs concernés, attribuer les responsabilités de déploiement et mettre en place un suivi minimal des mises à jour de sécurité.",
IF($F11="2 - Émergent",
"Formaliser la politique de gestion des correctifs en définissant les fréquences de mise à jour, les critères de priorisation, les délais de traitement attendus et les rôles des parties prenantes.",
IF($F11="3 - Intermédiaire",
"Étendre la gestion des correctifs à l'ensemble des actifs du périmètre (postes de travail, serveurs, équipements réseau, applications et services cloud), formaliser les délais de traitement selon la criticité et assurer le suivi systématique des déploieme"&amp;"nts.",
IF($F11="4 - Confirmé",
"Maintenir la conformité du parc en réalisant un suivi régulier des correctifs déployés, gérer formellement les exceptions, produire des indicateurs de pilotage et intégrer le processus aux activités de gestion des vulnérabilités et des changements.",
IF($F11="5 - Optimal",
"Optimiser la gestion des correctifs par l'automatisation du déploiement et du contrôle de conformité, piloter l'activité à l'aide d'indicateurs avancés et adapter en continu les priorités de remédiation en fonction des menaces, des vulnérabilités exploité"&amp;"es et de l'exposition aux risques.",
IF($F11="Non applicable",
"Non applicable.",
""))))))</f>
        <v>Étendre la gestion des correctifs à l'ensemble des actifs du périmètre (postes de travail, serveurs, équipements réseau, applications et services cloud), formaliser les délais de traitement selon la criticité et assurer le suivi systématique des déploiements.</v>
      </c>
      <c r="I11" s="140"/>
      <c r="J11" s="140" t="str">
        <f>IFERROR(__xludf.DUMMYFUNCTION("""COMPUTED_VALUE"""),"02 - Gestion des risques")</f>
        <v>02 - Gestion des risques</v>
      </c>
      <c r="K11" s="140"/>
      <c r="L11" s="140"/>
      <c r="M11" s="140"/>
      <c r="N11" s="140"/>
      <c r="O11" s="140"/>
      <c r="P11" s="140"/>
      <c r="Q11" s="140"/>
      <c r="R11" s="140"/>
      <c r="S11" s="140"/>
      <c r="T11" s="140"/>
      <c r="U11" s="140"/>
      <c r="V11" s="140"/>
      <c r="W11" s="140"/>
      <c r="X11" s="140"/>
      <c r="Y11" s="140"/>
      <c r="Z11" s="140"/>
    </row>
    <row r="12" ht="70.5" customHeight="1">
      <c r="A12" s="153" t="s">
        <v>446</v>
      </c>
      <c r="B12" s="147">
        <v>10.0</v>
      </c>
      <c r="C12" s="99" t="s">
        <v>447</v>
      </c>
      <c r="D12" s="99" t="s">
        <v>448</v>
      </c>
      <c r="E12" s="99" t="s">
        <v>449</v>
      </c>
      <c r="F12" s="91" t="s">
        <v>13</v>
      </c>
      <c r="G12" s="24" t="str">
        <f t="array" ref="G12">IF(F12="", "", IFERROR(INDEX('Echelle de maturité'!$B$2:$B$7, MATCH(F12, 'Echelle de maturité'!$C$2:$C$7, 0)), ""))</f>
        <v>Des objectifs de réduction des risques cyber intégrés à la stratégie de l'organisation. Des moyens humains, budgétaires conséquents, un plan d'action cyber exhaustif, adapté aux menaces stratégiques.</v>
      </c>
      <c r="H12" s="24" t="str">
        <f>IF($F12="1 - Insuffisant",
"Mettre en place un processus de gestion des arrivées, départs et changements de fonction, définir les responsabilités associées et garantir la création, la modification et la suppression des comptes utilisateurs de manière contrôlée.",
IF($F12="2 - Émergent",
"Formaliser les procédures de gestion des identités et des accès, documenter les étapes du processus, définir les délais de traitement et mettre en place un mécanisme de traçabilité des actions réalisées.",
IF($F12="3 - Intermédiaire",
"Étendre et homogénéiser le processus sur l'ensemble du périmètre concerné, renforcer les contrôles sur les comptes inactifs, partagés ou orphelins, et assurer le suivi systématique des demandes et des exceptions.",
IF($F12="4 - Confirmé",
"Maintenir l'efficacité du processus par des revues régulières des comptes et habilitations, suivre des indicateurs de performance, gérer formellement les exceptions et intégrer le processus aux activités RH et de gestion des accès.",
IF($F12="5 - Optimal",
"Optimiser la gestion des identités et des accès par l'automatisation des workflows, l'intégration entre les systèmes RH et IT, le pilotage par des indicateurs avancés et l'amélioration continue des mécanismes de contrôle et de traçabilité.",
IF($F12="Non applicable",
"Non applicable.",
""))))))</f>
        <v>Optimiser la gestion des identités et des accès par l'automatisation des workflows, l'intégration entre les systèmes RH et IT, le pilotage par des indicateurs avancés et l'amélioration continue des mécanismes de contrôle et de traçabilité.</v>
      </c>
      <c r="I12" s="140"/>
      <c r="J12" s="140" t="str">
        <f>IFERROR(__xludf.DUMMYFUNCTION("""COMPUTED_VALUE"""),"03 - Contrôle d’accès / IAM")</f>
        <v>03 - Contrôle d’accès / IAM</v>
      </c>
      <c r="K12" s="140"/>
      <c r="L12" s="140"/>
      <c r="M12" s="140"/>
      <c r="N12" s="140"/>
      <c r="O12" s="140"/>
      <c r="P12" s="140"/>
      <c r="Q12" s="140"/>
      <c r="R12" s="140"/>
      <c r="S12" s="140"/>
      <c r="T12" s="140"/>
      <c r="U12" s="140"/>
      <c r="V12" s="140"/>
      <c r="W12" s="140"/>
      <c r="X12" s="140"/>
      <c r="Y12" s="140"/>
      <c r="Z12" s="140"/>
    </row>
    <row r="13" ht="76.5" customHeight="1">
      <c r="A13" s="26"/>
      <c r="B13" s="147">
        <v>11.0</v>
      </c>
      <c r="C13" s="99" t="s">
        <v>450</v>
      </c>
      <c r="D13" s="99" t="s">
        <v>451</v>
      </c>
      <c r="E13" s="99" t="s">
        <v>452</v>
      </c>
      <c r="F13" s="91" t="s">
        <v>13</v>
      </c>
      <c r="G13" s="24" t="str">
        <f t="array" ref="G13">IF(F13="", "", IFERROR(INDEX('Echelle de maturité'!$B$2:$B$7, MATCH(F13, 'Echelle de maturité'!$C$2:$C$7, 0)), ""))</f>
        <v>Des objectifs de réduction des risques cyber intégrés à la stratégie de l'organisation. Des moyens humains, budgétaires conséquents, un plan d'action cyber exhaustif, adapté aux menaces stratégiques.</v>
      </c>
      <c r="H13" s="24" t="str">
        <f>IF($F13="1 - Insuffisant",
"Déployer l'authentification multifacteur (MFA) sur les accès les plus sensibles, notamment les comptes administrateurs, les accès distants, les services cloud et les systèmes critiques de l'organisation.",
IF($F13="2 - Émergent",
"Formaliser une politique d'authentification multifacteur définissant les populations concernées, les systèmes couverts, les méthodes autorisées et les modalités de déploiement et de gestion des exceptions.",
IF($F13="3 - Intermédiaire",
"Étendre progressivement l'authentification multifacteur à l'ensemble des applications et services critiques identifiés, assurer le suivi de la couverture et encadrer formellement les dérogations.",
IF($F13="4 - Confirmé",
"Maintenir un niveau élevé de couverture MFA, réaliser des revues régulières des exceptions, suivre des indicateurs de déploiement et contrôler l'efficacité des mécanismes d'authentification mis en œuvre.",
IF($F13="5 - Optimal",
"Optimiser les mécanismes d'authentification en privilégiant les méthodes les plus robustes adaptées aux risques, en surveillant les tentatives de contournement et en améliorant continuellement la couverture et la résilience du dispositif d'authentificatio"&amp;"n.",
IF($F13="Non applicable",
"Non applicable.",
""))))))</f>
        <v>Optimiser les mécanismes d'authentification en privilégiant les méthodes les plus robustes adaptées aux risques, en surveillant les tentatives de contournement et en améliorant continuellement la couverture et la résilience du dispositif d'authentification.</v>
      </c>
      <c r="I13" s="140"/>
      <c r="J13" s="140" t="str">
        <f>IFERROR(__xludf.DUMMYFUNCTION("""COMPUTED_VALUE"""),"03 - Contrôle d’accès / IAM")</f>
        <v>03 - Contrôle d’accès / IAM</v>
      </c>
      <c r="K13" s="140"/>
      <c r="L13" s="140"/>
      <c r="M13" s="140"/>
      <c r="N13" s="140"/>
      <c r="O13" s="140"/>
      <c r="P13" s="140"/>
      <c r="Q13" s="140"/>
      <c r="R13" s="140"/>
      <c r="S13" s="140"/>
      <c r="T13" s="140"/>
      <c r="U13" s="140"/>
      <c r="V13" s="140"/>
      <c r="W13" s="140"/>
      <c r="X13" s="140"/>
      <c r="Y13" s="140"/>
      <c r="Z13" s="140"/>
    </row>
    <row r="14" ht="75.0" customHeight="1">
      <c r="A14" s="26"/>
      <c r="B14" s="147">
        <v>12.0</v>
      </c>
      <c r="C14" s="99" t="s">
        <v>453</v>
      </c>
      <c r="D14" s="99" t="s">
        <v>454</v>
      </c>
      <c r="E14" s="99" t="s">
        <v>455</v>
      </c>
      <c r="F14" s="91" t="s">
        <v>11</v>
      </c>
      <c r="G14" s="24" t="str">
        <f t="array" ref="G14">IF(F14="", "", IFERROR(INDEX('Echelle de maturité'!$B$2:$B$7, MATCH(F14, 'Echelle de maturité'!$C$2:$C$7, 0)), ""))</f>
        <v>Une cartographie précise de ses risques cyber pour l'organisation, un plan d'action cyber approfondi et des moyens humains et budgétaires dédiés.</v>
      </c>
      <c r="H14" s="24" t="str">
        <f>IF($F14="1 - Insuffisant",
"Réaliser l'inventaire des comptes à privilèges, supprimer les comptes partagés lorsque possible, appliquer le principe du moindre privilège et mettre en place une journalisation des actions administrateurs.",
IF($F14="2 - Émergent",
"Formaliser la gestion des comptes à privilèges en définissant une politique de séparation des comptes, en documentant l'inventaire des accès administrateurs et en mettant en place une traçabilité des actions sensibles.",
IF($F14="3 - Intermédiaire",
"Structurer la gestion des accès à privilèges en généralisant la séparation des comptes, en encadrant les accès temporaires et en renforçant la traçabilité des actions réalisées sur les systèmes critiques.",
IF($F14="4 - Confirmé",
"Maintenir un contrôle régulier des comptes à privilèges, organiser des revues périodiques des droits, améliorer la supervision des actions sensibles et suivre des indicateurs de gestion des accès administrateurs.",
IF($F14="5 - Optimal",
"Optimiser la gestion des accès à privilèges par la réduction des privilèges permanents, le renforcement des contrôles d'accès dynamiques et l'amélioration continue de la surveillance des activités administrateurs en fonction des risques.",
IF($F14="Non applicable",
"Non applicable.",
""))))))</f>
        <v>Maintenir un contrôle régulier des comptes à privilèges, organiser des revues périodiques des droits, améliorer la supervision des actions sensibles et suivre des indicateurs de gestion des accès administrateurs.</v>
      </c>
      <c r="I14" s="140"/>
      <c r="J14" s="140" t="str">
        <f>IFERROR(__xludf.DUMMYFUNCTION("""COMPUTED_VALUE"""),"03 - Contrôle d’accès / IAM")</f>
        <v>03 - Contrôle d’accès / IAM</v>
      </c>
      <c r="K14" s="140"/>
      <c r="L14" s="140"/>
      <c r="M14" s="140"/>
      <c r="N14" s="140"/>
      <c r="O14" s="140"/>
      <c r="P14" s="140"/>
      <c r="Q14" s="140"/>
      <c r="R14" s="140"/>
      <c r="S14" s="140"/>
      <c r="T14" s="140"/>
      <c r="U14" s="140"/>
      <c r="V14" s="140"/>
      <c r="W14" s="140"/>
      <c r="X14" s="140"/>
      <c r="Y14" s="140"/>
      <c r="Z14" s="140"/>
    </row>
    <row r="15" ht="70.5" customHeight="1">
      <c r="A15" s="27"/>
      <c r="B15" s="147">
        <v>13.0</v>
      </c>
      <c r="C15" s="99" t="s">
        <v>456</v>
      </c>
      <c r="D15" s="99" t="s">
        <v>457</v>
      </c>
      <c r="E15" s="99" t="s">
        <v>458</v>
      </c>
      <c r="F15" s="91" t="s">
        <v>13</v>
      </c>
      <c r="G15" s="24" t="str">
        <f t="array" ref="G15">IF(F15="", "", IFERROR(INDEX('Echelle de maturité'!$B$2:$B$7, MATCH(F15, 'Echelle de maturité'!$C$2:$C$7, 0)), ""))</f>
        <v>Des objectifs de réduction des risques cyber intégrés à la stratégie de l'organisation. Des moyens humains, budgétaires conséquents, un plan d'action cyber exhaustif, adapté aux menaces stratégiques.</v>
      </c>
      <c r="H15" s="24" t="str">
        <f>IF($F15="1 - Insuffisant",
"Mettre en place un processus de revue périodique des habilitations (recertification), en priorisant les accès sensibles et administrateurs, avec validation par les responsables métiers et techniques.",
IF($F15="2 - Émergent",
"Formaliser le processus de recertification des accès en définissant les fréquences de revue, les rôles des validateurs et les modalités de contrôle des droits attribués.",
IF($F15="3 - Intermédiaire",
"Étendre les campagnes de recertification à l'ensemble des applications et rôles critiques, structurer le suivi des écarts identifiés et assurer la correction des droits inadaptés jusqu'à clôture.",
IF($F15="4 - Confirmé",
"Maintenir des campagnes de recertification régulières et structurées, suivre les actions correctives associées, et piloter le dispositif à l'aide d'indicateurs de performance et de conformité.",
IF($F15="5 - Optimal",
"Optimiser la recertification des habilitations par l'automatisation des campagnes, l'amélioration continue du ciblage des accès à risque et l'intégration des résultats dans la gouvernance globale des identités et des accès.",
IF($F15="Non applicable",
"Non applicable.",
""))))))</f>
        <v>Optimiser la recertification des habilitations par l'automatisation des campagnes, l'amélioration continue du ciblage des accès à risque et l'intégration des résultats dans la gouvernance globale des identités et des accès.</v>
      </c>
      <c r="I15" s="140"/>
      <c r="J15" s="140" t="str">
        <f>IFERROR(__xludf.DUMMYFUNCTION("""COMPUTED_VALUE"""),"03 - Contrôle d’accès / IAM")</f>
        <v>03 - Contrôle d’accès / IAM</v>
      </c>
      <c r="K15" s="140"/>
      <c r="L15" s="140"/>
      <c r="M15" s="140"/>
      <c r="N15" s="140"/>
      <c r="O15" s="140"/>
      <c r="P15" s="140"/>
      <c r="Q15" s="140"/>
      <c r="R15" s="140"/>
      <c r="S15" s="140"/>
      <c r="T15" s="140"/>
      <c r="U15" s="140"/>
      <c r="V15" s="140"/>
      <c r="W15" s="140"/>
      <c r="X15" s="140"/>
      <c r="Y15" s="140"/>
      <c r="Z15" s="140"/>
    </row>
    <row r="16" ht="73.5" customHeight="1">
      <c r="A16" s="154" t="s">
        <v>459</v>
      </c>
      <c r="B16" s="147">
        <v>14.0</v>
      </c>
      <c r="C16" s="102" t="s">
        <v>460</v>
      </c>
      <c r="D16" s="102" t="s">
        <v>461</v>
      </c>
      <c r="E16" s="102" t="s">
        <v>462</v>
      </c>
      <c r="F16" s="91" t="s">
        <v>13</v>
      </c>
      <c r="G16" s="24" t="str">
        <f t="array" ref="G16">IF(F16="", "", IFERROR(INDEX('Echelle de maturité'!$B$2:$B$7, MATCH(F16, 'Echelle de maturité'!$C$2:$C$7, 0)), ""))</f>
        <v>Des objectifs de réduction des risques cyber intégrés à la stratégie de l'organisation. Des moyens humains, budgétaires conséquents, un plan d'action cyber exhaustif, adapté aux menaces stratégiques.</v>
      </c>
      <c r="H16" s="24" t="str">
        <f>IF($F16="1 - Insuffisant",
"Mettre en place une procédure de gestion des incidents de sécurité définissant les rôles, les responsabilités et les modalités d'escalade, et établir un registre centralisé des incidents ainsi que des scénarios de réponse de base.",
IF($F16="2 - Émergent",
"Formaliser le processus de gestion des incidents en décrivant les étapes clés (détection, qualification, escalade, réponse, rétablissement et retour d'expérience) et en définissant la chaîne d'alerte et les contacts d'astreinte.",
IF($F16="3 - Intermédiaire",
"Compléter et structurer les procédures de réponse aux incidents, tester les scénarios de réponse, formaliser les mécanismes d'escalade et assurer l'enregistrement systématique ainsi que le traitement des incidents jusqu'à leur clôture.",
IF($F16="4 - Confirmé",
"Maintenir et améliorer le dispositif de gestion des incidents en intégrant les retours d'expérience, en mettant à jour régulièrement les procédures et en suivant des indicateurs de performance tels que les délais de détection et de résolution.",
IF($F16="5 - Optimal",
"Optimiser la gestion des incidents de sécurité par une amélioration continue basée sur les retours d'expérience, le renforcement de la détection et de la réponse et l'intégration des enseignements dans la stratégie globale de résilience de l'organisation.",
IF($F16="Non applicable",
"Non applicable.",
""))))))</f>
        <v>Optimiser la gestion des incidents de sécurité par une amélioration continue basée sur les retours d'expérience, le renforcement de la détection et de la réponse et l'intégration des enseignements dans la stratégie globale de résilience de l'organisation.</v>
      </c>
      <c r="I16" s="140"/>
      <c r="J16" s="140" t="str">
        <f>IFERROR(__xludf.DUMMYFUNCTION("""COMPUTED_VALUE"""),"04 - Incidents &amp; notification")</f>
        <v>04 - Incidents &amp; notification</v>
      </c>
      <c r="K16" s="140"/>
      <c r="L16" s="140"/>
      <c r="M16" s="140"/>
      <c r="N16" s="140"/>
      <c r="O16" s="140"/>
      <c r="P16" s="140"/>
      <c r="Q16" s="140"/>
      <c r="R16" s="140"/>
      <c r="S16" s="140"/>
      <c r="T16" s="140"/>
      <c r="U16" s="140"/>
      <c r="V16" s="140"/>
      <c r="W16" s="140"/>
      <c r="X16" s="140"/>
      <c r="Y16" s="140"/>
      <c r="Z16" s="140"/>
    </row>
    <row r="17" ht="67.5" customHeight="1">
      <c r="A17" s="26"/>
      <c r="B17" s="147">
        <v>15.0</v>
      </c>
      <c r="C17" s="102" t="s">
        <v>463</v>
      </c>
      <c r="D17" s="102" t="s">
        <v>464</v>
      </c>
      <c r="E17" s="102" t="s">
        <v>465</v>
      </c>
      <c r="F17" s="91" t="s">
        <v>13</v>
      </c>
      <c r="G17" s="24" t="str">
        <f t="array" ref="G17">IF(F17="", "", IFERROR(INDEX('Echelle de maturité'!$B$2:$B$7, MATCH(F17, 'Echelle de maturité'!$C$2:$C$7, 0)), ""))</f>
        <v>Des objectifs de réduction des risques cyber intégrés à la stratégie de l'organisation. Des moyens humains, budgétaires conséquents, un plan d'action cyber exhaustif, adapté aux menaces stratégiques.</v>
      </c>
      <c r="H17" s="24" t="str">
        <f>IF($F17="1 - Insuffisant",
"Mettre en place une capacité de supervision de sécurité incluant la centralisation des journaux, la génération d'alertes de sécurité et un processus initial de traitement des événements avec rôles et responsabilités définis.",
IF($F17="2 - Émergent",
"Formaliser le dispositif de supervision en structurant le traitement des alertes, en définissant un processus de qualification et de réponse et en clarifiant les responsabilités des équipes impliquées dans la surveillance.",
IF($F17="3 - Intermédiaire",
"Étendre la supervision de sécurité à l'ensemble du périmètre critique (systèmes, réseaux, cloud et applications), formaliser les procédures de traitement des alertes et suivre les événements de sécurité de manière structurée.",
IF($F17="4 - Confirmé",
"Maintenir et améliorer la supervision de sécurité en renforçant la qualité de détection, en intégrant les retours d'incidents et en pilotant l'activité à l'aide d'indicateurs de performance tels que les délais de détection et de réponse.",
IF($F17="5 - Optimal",
"Optimiser la supervision de sécurité par l'amélioration continue des capacités de détection, l'enrichissement des sources de données et l'adaptation dynamique aux menaces émergentes afin de renforcer la résilience globale de l'organisation.",
IF($F17="Non applicable",
"Non applicable.",
""))))))</f>
        <v>Optimiser la supervision de sécurité par l'amélioration continue des capacités de détection, l'enrichissement des sources de données et l'adaptation dynamique aux menaces émergentes afin de renforcer la résilience globale de l'organisation.</v>
      </c>
      <c r="I17" s="140"/>
      <c r="J17" s="140" t="str">
        <f>IFERROR(__xludf.DUMMYFUNCTION("""COMPUTED_VALUE"""),"04 - Incidents &amp; notification")</f>
        <v>04 - Incidents &amp; notification</v>
      </c>
      <c r="K17" s="140"/>
      <c r="L17" s="140"/>
      <c r="M17" s="140"/>
      <c r="N17" s="140"/>
      <c r="O17" s="140"/>
      <c r="P17" s="140"/>
      <c r="Q17" s="140"/>
      <c r="R17" s="140"/>
      <c r="S17" s="140"/>
      <c r="T17" s="140"/>
      <c r="U17" s="140"/>
      <c r="V17" s="140"/>
      <c r="W17" s="140"/>
      <c r="X17" s="140"/>
      <c r="Y17" s="140"/>
      <c r="Z17" s="140"/>
    </row>
    <row r="18" ht="73.5" customHeight="1">
      <c r="A18" s="26"/>
      <c r="B18" s="147">
        <v>16.0</v>
      </c>
      <c r="C18" s="102" t="s">
        <v>466</v>
      </c>
      <c r="D18" s="102" t="s">
        <v>467</v>
      </c>
      <c r="E18" s="102" t="s">
        <v>468</v>
      </c>
      <c r="F18" s="91" t="s">
        <v>13</v>
      </c>
      <c r="G18" s="24" t="str">
        <f t="array" ref="G18">IF(F18="", "", IFERROR(INDEX('Echelle de maturité'!$B$2:$B$7, MATCH(F18, 'Echelle de maturité'!$C$2:$C$7, 0)), ""))</f>
        <v>Des objectifs de réduction des risques cyber intégrés à la stratégie de l'organisation. Des moyens humains, budgétaires conséquents, un plan d'action cyber exhaustif, adapté aux menaces stratégiques.</v>
      </c>
      <c r="H18" s="24" t="str">
        <f>IF($F18="1 - Insuffisant",
"Mettre en place des exercices de gestion de crise cybersécurité (type table-top) afin de tester les capacités de réponse de l'organisation face à des scénarios réalistes et critiques, puis formaliser les enseignements et les plans d'amélioration associés.",
IF($F18="2 - Émergent",
"Formaliser la démarche de simulation de crise en définissant une fréquence minimale des exercices, en structurant les scénarios et en assurant la production systématique de comptes rendus documentés.",
IF($F18="3 - Intermédiaire",
"Organiser des exercices de crise réguliers couvrant différents scénarios de menaces, suivre les actions correctives issues des retours d'expérience et mesurer l'amélioration progressive des capacités de réponse.",
IF($F18="4 - Confirmé",
"Maintenir un programme structuré d'exercices de crise intégrant des scénarios variés et complexes, en capitalisant sur les retours d'expérience pour améliorer les plans de continuité et de réponse aux incidents.",
IF($F18="5 - Optimal",
"Optimiser les exercices de gestion de crise en les intégrant pleinement dans la stratégie de résilience de l'organisation, en simulant des scénarios avancés impliquant plusieurs fonctions et en améliorant en continu la capacité de réponse globale.",
IF($F18="Non applicable",
"Non applicable.",
""))))))</f>
        <v>Optimiser les exercices de gestion de crise en les intégrant pleinement dans la stratégie de résilience de l'organisation, en simulant des scénarios avancés impliquant plusieurs fonctions et en améliorant en continu la capacité de réponse globale.</v>
      </c>
      <c r="I18" s="140"/>
      <c r="J18" s="140" t="str">
        <f>IFERROR(__xludf.DUMMYFUNCTION("""COMPUTED_VALUE"""),"04 - Incidents &amp; notification")</f>
        <v>04 - Incidents &amp; notification</v>
      </c>
      <c r="K18" s="140"/>
      <c r="L18" s="140"/>
      <c r="M18" s="140"/>
      <c r="N18" s="140"/>
      <c r="O18" s="140"/>
      <c r="P18" s="140"/>
      <c r="Q18" s="140"/>
      <c r="R18" s="140"/>
      <c r="S18" s="140"/>
      <c r="T18" s="140"/>
      <c r="U18" s="140"/>
      <c r="V18" s="140"/>
      <c r="W18" s="140"/>
      <c r="X18" s="140"/>
      <c r="Y18" s="140"/>
      <c r="Z18" s="140"/>
    </row>
    <row r="19" ht="70.5" customHeight="1">
      <c r="A19" s="27"/>
      <c r="B19" s="147">
        <v>17.0</v>
      </c>
      <c r="C19" s="102" t="s">
        <v>469</v>
      </c>
      <c r="D19" s="102" t="s">
        <v>470</v>
      </c>
      <c r="E19" s="102" t="s">
        <v>471</v>
      </c>
      <c r="F19" s="91" t="s">
        <v>9</v>
      </c>
      <c r="G19" s="24" t="str">
        <f t="array" ref="G19">IF(F19="", "", IFERROR(INDEX('Echelle de maturité'!$B$2:$B$7, MATCH(F19, 'Echelle de maturité'!$C$2:$C$7, 0)), ""))</f>
        <v>Une conscience partagée des risques cyber pour l'organisation et la volonté de formaliser un plan d'action cyber complet tout en ajustant les moyens en conséquence.</v>
      </c>
      <c r="H19" s="24" t="str">
        <f>IF($F19="1 - Insuffisant",
"Définir un processus de notification des incidents de sécurité répondant aux exigences réglementaires, incluant les critères de qualification d'un incident significatif, les responsabilités de notification et les délais associés, ainsi qu'un registre de s"&amp;"uivi.",
IF($F19="2 - Émergent",
"Formaliser la procédure de notification des incidents en précisant les critères de qualification, les rôles et responsabilités, les délais de notification et les informations minimales à transmettre aux parties concernées.",
IF($F19="3 - Intermédiaire",
"Tester et structurer le processus de notification des incidents significatifs, formaliser les modèles de communication et assurer la traçabilité complète des notifications et des échanges associés.",
IF($F19="4 - Confirmé",
"Maintenir et améliorer le dispositif de notification en réalisant des tests réguliers, en intégrant les retours d'expérience et en assurant une mise à jour périodique des procédures et des modèles de communication.",
IF($F19="5 - Optimal",
"Optimiser le processus de notification des incidents en renforçant la réactivité, la fiabilité et la qualité des informations transmises, et en intégrant les enseignements des exercices et des incidents réels dans une démarche d'amélioration continue.",
IF($F19="Non applicable",
"Non applicable.",
""))))))</f>
        <v>Tester et structurer le processus de notification des incidents significatifs, formaliser les modèles de communication et assurer la traçabilité complète des notifications et des échanges associés.</v>
      </c>
      <c r="I19" s="140"/>
      <c r="J19" s="140" t="str">
        <f>IFERROR(__xludf.DUMMYFUNCTION("""COMPUTED_VALUE"""),"04 - Incidents &amp; notification")</f>
        <v>04 - Incidents &amp; notification</v>
      </c>
      <c r="K19" s="140"/>
      <c r="L19" s="140"/>
      <c r="M19" s="140"/>
      <c r="N19" s="140"/>
      <c r="O19" s="140"/>
      <c r="P19" s="140"/>
      <c r="Q19" s="140"/>
      <c r="R19" s="140"/>
      <c r="S19" s="140"/>
      <c r="T19" s="140"/>
      <c r="U19" s="140"/>
      <c r="V19" s="140"/>
      <c r="W19" s="140"/>
      <c r="X19" s="140"/>
      <c r="Y19" s="140"/>
      <c r="Z19" s="140"/>
    </row>
    <row r="20" ht="72.0" customHeight="1">
      <c r="A20" s="155" t="s">
        <v>472</v>
      </c>
      <c r="B20" s="147">
        <v>18.0</v>
      </c>
      <c r="C20" s="156" t="s">
        <v>473</v>
      </c>
      <c r="D20" s="156" t="s">
        <v>474</v>
      </c>
      <c r="E20" s="156" t="s">
        <v>475</v>
      </c>
      <c r="F20" s="91" t="s">
        <v>11</v>
      </c>
      <c r="G20" s="24" t="str">
        <f t="array" ref="G20">IF(F20="", "", IFERROR(INDEX('Echelle de maturité'!$B$2:$B$7, MATCH(F20, 'Echelle de maturité'!$C$2:$C$7, 0)), ""))</f>
        <v>Une cartographie précise de ses risques cyber pour l'organisation, un plan d'action cyber approfondi et des moyens humains et budgétaires dédiés.</v>
      </c>
      <c r="H20" s="24" t="str">
        <f>IF($F20="1 - Insuffisant",
"Définir une stratégie de sauvegarde couvrant les actifs critiques, incluant les fréquences de sauvegarde, les objectifs de restauration (RPO/RTO), les responsabilités et les mécanismes de supervision.",
IF($F20="2 - Émergent",
"Formaliser la politique de sauvegarde en documentant le périmètre, les fréquences, les objectifs de reprise (RPO/RTO), les rôles associés et les modalités de suivi et de reporting.",
IF($F20="3 - Intermédiaire",
"Étendre la couverture des sauvegardes à l'ensemble des systèmes et données critiques, valider les objectifs de reprise, structurer le suivi des sauvegardes et traiter systématiquement les incidents de sauvegarde.",
IF($F20="4 - Confirmé",
"Maintenir une stratégie de sauvegarde robuste avec des contrôles réguliers, des tests de restauration, un suivi des indicateurs de performance et une adaptation continue aux évolutions du système d'information.",
IF($F20="5 - Optimal",
"Optimiser la stratégie de sauvegarde en renforçant l'automatisation, en améliorant la résilience et en intégrant les tests de restauration et les résultats de supervision dans une démarche d'amélioration continue.",
IF($F20="Non applicable",
"Non applicable.",
""))))))</f>
        <v>Maintenir une stratégie de sauvegarde robuste avec des contrôles réguliers, des tests de restauration, un suivi des indicateurs de performance et une adaptation continue aux évolutions du système d'information.</v>
      </c>
      <c r="I20" s="140"/>
      <c r="J20" s="140" t="str">
        <f>IFERROR(__xludf.DUMMYFUNCTION("""COMPUTED_VALUE"""),"05 - Continuité / Résilience")</f>
        <v>05 - Continuité / Résilience</v>
      </c>
      <c r="K20" s="140"/>
      <c r="L20" s="140"/>
      <c r="M20" s="140"/>
      <c r="N20" s="140"/>
      <c r="O20" s="140"/>
      <c r="P20" s="140"/>
      <c r="Q20" s="140"/>
      <c r="R20" s="140"/>
      <c r="S20" s="140"/>
      <c r="T20" s="140"/>
      <c r="U20" s="140"/>
      <c r="V20" s="140"/>
      <c r="W20" s="140"/>
      <c r="X20" s="140"/>
      <c r="Y20" s="140"/>
      <c r="Z20" s="140"/>
    </row>
    <row r="21" ht="70.5" customHeight="1">
      <c r="A21" s="26"/>
      <c r="B21" s="147">
        <v>19.0</v>
      </c>
      <c r="C21" s="156" t="s">
        <v>476</v>
      </c>
      <c r="D21" s="156" t="s">
        <v>477</v>
      </c>
      <c r="E21" s="156" t="s">
        <v>478</v>
      </c>
      <c r="F21" s="91" t="s">
        <v>13</v>
      </c>
      <c r="G21" s="24" t="str">
        <f t="array" ref="G21">IF(F21="", "", IFERROR(INDEX('Echelle de maturité'!$B$2:$B$7, MATCH(F21, 'Echelle de maturité'!$C$2:$C$7, 0)), ""))</f>
        <v>Des objectifs de réduction des risques cyber intégrés à la stratégie de l'organisation. Des moyens humains, budgétaires conséquents, un plan d'action cyber exhaustif, adapté aux menaces stratégiques.</v>
      </c>
      <c r="H21" s="24" t="str">
        <f>IF($F21="1 - Insuffisant",
"Définir un plan de tests de restauration des sauvegardes couvrant les actifs critiques, incluant la fréquence minimale des tests, les responsabilités associées et les critères de validation des restaurations.",
IF($F21="2 - Émergent",
"Formaliser le plan de tests de restauration en précisant les systèmes concernés, les fréquences, les scénarios de test et les critères de succès, ainsi que les modalités de documentation des résultats.",
IF($F21="3 - Intermédiaire",
"Étendre les tests de restauration à l'ensemble des systèmes critiques, assurer la traçabilité des résultats et suivre systématiquement les actions correctives issues des tests.",
IF($F21="4 - Confirmé",
"Maintenir des tests de restauration réguliers et représentatifs, analyser les écarts entre objectifs et résultats réels, et intégrer les enseignements dans l'amélioration des plans de continuité et de reprise.",
IF($F21="5 - Optimal",
"Optimiser les tests de restauration en les intégrant pleinement dans une démarche de résilience globale, en améliorant en continu les capacités de reprise et en renforçant la fiabilité des processus de sauvegarde et de restauration.",
IF($F21="Non applicable",
"Non applicable.",
""))))))</f>
        <v>Optimiser les tests de restauration en les intégrant pleinement dans une démarche de résilience globale, en améliorant en continu les capacités de reprise et en renforçant la fiabilité des processus de sauvegarde et de restauration.</v>
      </c>
      <c r="I21" s="140"/>
      <c r="J21" s="140" t="str">
        <f>IFERROR(__xludf.DUMMYFUNCTION("""COMPUTED_VALUE"""),"05 - Continuité / Résilience")</f>
        <v>05 - Continuité / Résilience</v>
      </c>
      <c r="K21" s="140"/>
      <c r="L21" s="140"/>
      <c r="M21" s="140"/>
      <c r="N21" s="140"/>
      <c r="O21" s="140"/>
      <c r="P21" s="140"/>
      <c r="Q21" s="140"/>
      <c r="R21" s="140"/>
      <c r="S21" s="140"/>
      <c r="T21" s="140"/>
      <c r="U21" s="140"/>
      <c r="V21" s="140"/>
      <c r="W21" s="140"/>
      <c r="X21" s="140"/>
      <c r="Y21" s="140"/>
      <c r="Z21" s="140"/>
    </row>
    <row r="22" ht="73.5" customHeight="1">
      <c r="A22" s="26"/>
      <c r="B22" s="147">
        <v>20.0</v>
      </c>
      <c r="C22" s="156" t="s">
        <v>479</v>
      </c>
      <c r="D22" s="156" t="s">
        <v>480</v>
      </c>
      <c r="E22" s="156" t="s">
        <v>481</v>
      </c>
      <c r="F22" s="91" t="s">
        <v>13</v>
      </c>
      <c r="G22" s="24" t="str">
        <f t="array" ref="G22">IF(F22="", "", IFERROR(INDEX('Echelle de maturité'!$B$2:$B$7, MATCH(F22, 'Echelle de maturité'!$C$2:$C$7, 0)), ""))</f>
        <v>Des objectifs de réduction des risques cyber intégrés à la stratégie de l'organisation. Des moyens humains, budgétaires conséquents, un plan d'action cyber exhaustif, adapté aux menaces stratégiques.</v>
      </c>
      <c r="H22" s="24" t="str">
        <f>IF($F22="1 - Insuffisant",
"Identifier et cartographier les services critiques de l'organisation et définir les objectifs de continuité et de reprise (RTO/RPO), puis établir un premier plan de continuité et de reprise d'activité (PCA/PRA) structuré.",
IF($F22="2 - Émergent",
"Formaliser les plans de continuité et de reprise en documentant les services critiques, les objectifs RTO/RPO, les scénarios de crise et les modalités d'escalade et de coordination.",
IF($F22="3 - Intermédiaire",
"Compléter et structurer les plans de continuité et de reprise pour l'ensemble des services critiques, assurer leur validation, organiser des revues périodiques et tester régulièrement les dispositifs.",
IF($F22="4 - Confirmé",
"Maintenir des plans de continuité et de reprise à jour, intégrer les retours d'exercices et d'incidents, et suivre des indicateurs de performance liés à la capacité de reprise et de continuité.",
IF($F22="5 - Optimal",
"Optimiser les plans de continuité et de reprise en les intégrant pleinement dans la gouvernance de résilience de l'organisation, en améliorant en continu les capacités de reprise et en adaptant les dispositifs aux évolutions des risques et du système d'in"&amp;"formation.",
IF($F22="Non applicable",
"Non applicable.",
""))))))</f>
        <v>Optimiser les plans de continuité et de reprise en les intégrant pleinement dans la gouvernance de résilience de l'organisation, en améliorant en continu les capacités de reprise et en adaptant les dispositifs aux évolutions des risques et du système d'information.</v>
      </c>
      <c r="I22" s="140"/>
      <c r="J22" s="140" t="str">
        <f>IFERROR(__xludf.DUMMYFUNCTION("""COMPUTED_VALUE"""),"05 - Continuité / Résilience")</f>
        <v>05 - Continuité / Résilience</v>
      </c>
      <c r="K22" s="140"/>
      <c r="L22" s="140"/>
      <c r="M22" s="140"/>
      <c r="N22" s="140"/>
      <c r="O22" s="140"/>
      <c r="P22" s="140"/>
      <c r="Q22" s="140"/>
      <c r="R22" s="140"/>
      <c r="S22" s="140"/>
      <c r="T22" s="140"/>
      <c r="U22" s="140"/>
      <c r="V22" s="140"/>
      <c r="W22" s="140"/>
      <c r="X22" s="140"/>
      <c r="Y22" s="140"/>
      <c r="Z22" s="140"/>
    </row>
    <row r="23" ht="78.0" customHeight="1">
      <c r="A23" s="27"/>
      <c r="B23" s="147">
        <v>21.0</v>
      </c>
      <c r="C23" s="156" t="s">
        <v>482</v>
      </c>
      <c r="D23" s="156" t="s">
        <v>483</v>
      </c>
      <c r="E23" s="156" t="s">
        <v>484</v>
      </c>
      <c r="F23" s="91" t="s">
        <v>13</v>
      </c>
      <c r="G23" s="24" t="str">
        <f t="array" ref="G23">IF(F23="", "", IFERROR(INDEX('Echelle de maturité'!$B$2:$B$7, MATCH(F23, 'Echelle de maturité'!$C$2:$C$7, 0)), ""))</f>
        <v>Des objectifs de réduction des risques cyber intégrés à la stratégie de l'organisation. Des moyens humains, budgétaires conséquents, un plan d'action cyber exhaustif, adapté aux menaces stratégiques.</v>
      </c>
      <c r="H23" s="24" t="str">
        <f>IF($F23="1 - Insuffisant",
"Mettre en place des mécanismes de protection des sauvegardes, incluant la séparation des comptes et des droits, la sécurisation des accès et la journalisation des actions sur les systèmes de sauvegarde.",
IF($F23="2 - Émergent",
"Formaliser la protection des sauvegardes en définissant les règles de séparation des accès, en documentant les mécanismes de sécurisation (immutabilité ou hors ligne) et en structurant la traçabilité des actions.",
IF($F23="3 - Intermédiaire",
"Généraliser les mécanismes de protection des sauvegardes à l'ensemble du périmètre critique, renforcer le contrôle des accès et organiser des revues périodiques des habilitations et des journaux d'accès.",
IF($F23="4 - Confirmé",
"Maintenir un niveau élevé de protection des sauvegardes en contrôlant régulièrement les accès, en surveillant les activités suspectes et en testant périodiquement la résistance des sauvegardes face aux scénarios de compromission.",
IF($F23="5 - Optimal",
"Optimiser la protection des sauvegardes en renforçant continuellement leur résilience face aux menaces, en adaptant les mécanismes de sécurité aux évolutions des risques et en intégrant ces contrôles dans une démarche globale de gestion des risques et de "&amp;"continuité.",
IF($F23="Non applicable",
"Non applicable.",
""))))))</f>
        <v>Optimiser la protection des sauvegardes en renforçant continuellement leur résilience face aux menaces, en adaptant les mécanismes de sécurité aux évolutions des risques et en intégrant ces contrôles dans une démarche globale de gestion des risques et de continuité.</v>
      </c>
      <c r="I23" s="140"/>
      <c r="J23" s="140" t="str">
        <f>IFERROR(__xludf.DUMMYFUNCTION("""COMPUTED_VALUE"""),"05 - Continuité / Résilience")</f>
        <v>05 - Continuité / Résilience</v>
      </c>
      <c r="K23" s="140"/>
      <c r="L23" s="140"/>
      <c r="M23" s="140"/>
      <c r="N23" s="140"/>
      <c r="O23" s="140"/>
      <c r="P23" s="140"/>
      <c r="Q23" s="140"/>
      <c r="R23" s="140"/>
      <c r="S23" s="140"/>
      <c r="T23" s="140"/>
      <c r="U23" s="140"/>
      <c r="V23" s="140"/>
      <c r="W23" s="140"/>
      <c r="X23" s="140"/>
      <c r="Y23" s="140"/>
      <c r="Z23" s="140"/>
    </row>
    <row r="24" ht="75.0" customHeight="1">
      <c r="A24" s="157" t="s">
        <v>485</v>
      </c>
      <c r="B24" s="147">
        <v>22.0</v>
      </c>
      <c r="C24" s="158" t="s">
        <v>486</v>
      </c>
      <c r="D24" s="158" t="s">
        <v>487</v>
      </c>
      <c r="E24" s="158" t="s">
        <v>488</v>
      </c>
      <c r="F24" s="91" t="s">
        <v>9</v>
      </c>
      <c r="G24" s="24" t="str">
        <f t="array" ref="G24">IF(F24="", "", IFERROR(INDEX('Echelle de maturité'!$B$2:$B$7, MATCH(F24, 'Echelle de maturité'!$C$2:$C$7, 0)), ""))</f>
        <v>Une conscience partagée des risques cyber pour l'organisation et la volonté de formaliser un plan d'action cyber complet tout en ajustant les moyens en conséquence.</v>
      </c>
      <c r="H24" s="24" t="str">
        <f>IF($F24="1 - Insuffisant",
"Identifier les fournisseurs intervenant sur les services critiques de l'organisation et établir une cartographie initiale des dépendances externes.",
IF($F24="2 - Émergent",
"Formaliser les critères de criticité des fournisseurs et structurer une liste consolidée et tenue à jour des prestataires essentiels pour les activités de l'organisation.",
IF($F24="3 - Intermédiaire",
"Mettre en place des revues périodiques des fournisseurs critiques et intégrer systématiquement les dépendances fournisseurs dans les analyses de risques cybersécurité.",
IF($F24="4 - Confirmé",
"Maintenir une cartographie actualisée des fournisseurs critiques et suivre de manière continue les évolutions des risques liés aux dépendances externes.",
IF($F24="5 - Optimal",
"Optimiser la gestion des risques fournisseurs en intégrant pleinement les dépendances critiques dans la gouvernance des risques de l'organisation et en adaptant en continu les mesures de contrôle en fonction de l'évolution des menaces et des enjeux métier"&amp;"s.",
IF($F24="Non applicable",
"Non applicable.",
""))))))</f>
        <v>Mettre en place des revues périodiques des fournisseurs critiques et intégrer systématiquement les dépendances fournisseurs dans les analyses de risques cybersécurité.</v>
      </c>
      <c r="I24" s="140"/>
      <c r="J24" s="140" t="str">
        <f>IFERROR(__xludf.DUMMYFUNCTION("""COMPUTED_VALUE"""),"06 - Fournisseurs / Supply Chain")</f>
        <v>06 - Fournisseurs / Supply Chain</v>
      </c>
      <c r="K24" s="140"/>
      <c r="L24" s="140"/>
      <c r="M24" s="140"/>
      <c r="N24" s="140"/>
      <c r="O24" s="140"/>
      <c r="P24" s="140"/>
      <c r="Q24" s="140"/>
      <c r="R24" s="140"/>
      <c r="S24" s="140"/>
      <c r="T24" s="140"/>
      <c r="U24" s="140"/>
      <c r="V24" s="140"/>
      <c r="W24" s="140"/>
      <c r="X24" s="140"/>
      <c r="Y24" s="140"/>
      <c r="Z24" s="140"/>
    </row>
    <row r="25" ht="70.5" customHeight="1">
      <c r="A25" s="26"/>
      <c r="B25" s="147">
        <v>23.0</v>
      </c>
      <c r="C25" s="158" t="s">
        <v>489</v>
      </c>
      <c r="D25" s="158" t="s">
        <v>490</v>
      </c>
      <c r="E25" s="158" t="s">
        <v>491</v>
      </c>
      <c r="F25" s="91" t="s">
        <v>13</v>
      </c>
      <c r="G25" s="24" t="str">
        <f t="array" ref="G25">IF(F25="", "", IFERROR(INDEX('Echelle de maturité'!$B$2:$B$7, MATCH(F25, 'Echelle de maturité'!$C$2:$C$7, 0)), ""))</f>
        <v>Des objectifs de réduction des risques cyber intégrés à la stratégie de l'organisation. Des moyens humains, budgétaires conséquents, un plan d'action cyber exhaustif, adapté aux menaces stratégiques.</v>
      </c>
      <c r="H25" s="24" t="str">
        <f>IF($F25="1 - Insuffisant",
"Mettre en place un processus d'évaluation de la maturité cybersécurité des fournisseurs afin d'identifier les risques associés aux prestataires intervenant sur les services critiques.",
IF($F25="2 - Émergent",
"Formaliser le processus d'évaluation des fournisseurs en définissant des critères standardisés, des questionnaires et une méthodologie homogène d'analyse de la maturité cybersécurité.",
IF($F25="3 - Intermédiaire",
"Généraliser les évaluations de cybersécurité à l'ensemble des fournisseurs critiques et intégrer les résultats dans les analyses de risques et les décisions d'engagement.",
IF($F25="4 - Confirmé",
"Maintenir un dispositif d'évaluation régulier des fournisseurs, suivre les plans de remédiation associés et intégrer les résultats dans le pilotage des risques tiers.",
IF($F25="5 - Optimal",
"Optimiser l'évaluation des fournisseurs en intégrant les résultats dans une démarche continue de gestion des risques tiers, en adaptant les exigences de sécurité en fonction du niveau de risque et en renforçant le suivi des mesures correctives.",
IF($F25="Non applicable",
"Non applicable.",
""))))))</f>
        <v>Optimiser l'évaluation des fournisseurs en intégrant les résultats dans une démarche continue de gestion des risques tiers, en adaptant les exigences de sécurité en fonction du niveau de risque et en renforçant le suivi des mesures correctives.</v>
      </c>
      <c r="I25" s="140"/>
      <c r="J25" s="140" t="str">
        <f>IFERROR(__xludf.DUMMYFUNCTION("""COMPUTED_VALUE"""),"06 - Fournisseurs / Supply Chain")</f>
        <v>06 - Fournisseurs / Supply Chain</v>
      </c>
      <c r="K25" s="140"/>
      <c r="L25" s="140"/>
      <c r="M25" s="140"/>
      <c r="N25" s="140"/>
      <c r="O25" s="140"/>
      <c r="P25" s="140"/>
      <c r="Q25" s="140"/>
      <c r="R25" s="140"/>
      <c r="S25" s="140"/>
      <c r="T25" s="140"/>
      <c r="U25" s="140"/>
      <c r="V25" s="140"/>
      <c r="W25" s="140"/>
      <c r="X25" s="140"/>
      <c r="Y25" s="140"/>
      <c r="Z25" s="140"/>
    </row>
    <row r="26" ht="73.5" customHeight="1">
      <c r="A26" s="26"/>
      <c r="B26" s="147">
        <v>24.0</v>
      </c>
      <c r="C26" s="158" t="s">
        <v>492</v>
      </c>
      <c r="D26" s="158" t="s">
        <v>493</v>
      </c>
      <c r="E26" s="158" t="s">
        <v>494</v>
      </c>
      <c r="F26" s="91" t="s">
        <v>13</v>
      </c>
      <c r="G26" s="24" t="str">
        <f t="array" ref="G26">IF(F26="", "", IFERROR(INDEX('Echelle de maturité'!$B$2:$B$7, MATCH(F26, 'Echelle de maturité'!$C$2:$C$7, 0)), ""))</f>
        <v>Des objectifs de réduction des risques cyber intégrés à la stratégie de l'organisation. Des moyens humains, budgétaires conséquents, un plan d'action cyber exhaustif, adapté aux menaces stratégiques.</v>
      </c>
      <c r="H26" s="24" t="str">
        <f>IF($F26="1 - Insuffisant",
"Intégrer des clauses de sécurité de base dans les contrats fournisseurs afin de couvrir les exigences minimales de cybersécurité liées aux services et prestations critiques.",
IF($F26="2 - Émergent",
"Formaliser et standardiser les clauses contractuelles de cybersécurité et les intégrer systématiquement dans les processus d'achat et de contractualisation des fournisseurs.",
IF($F26="3 - Intermédiaire",
"Étendre les exigences de cybersécurité aux contrats existants lors de leur renouvellement et s'assurer de leur cohérence avec les risques identifiés pour les fournisseurs critiques.",
IF($F26="4 - Confirmé",
"Maintenir des clauses contractuelles cybersécurité à jour en les révisant régulièrement en fonction de l'évolution des risques, des menaces et des exigences réglementaires applicables.",
IF($F26="5 - Optimal",
"Optimiser la gestion contractuelle de la cybersécurité en adaptant en continu les exigences contractuelles au niveau de risque des fournisseurs et en renforçant leur intégration dans la gouvernance globale des risques tiers.",
IF($F26="Non applicable",
"Non applicable.",
""))))))</f>
        <v>Optimiser la gestion contractuelle de la cybersécurité en adaptant en continu les exigences contractuelles au niveau de risque des fournisseurs et en renforçant leur intégration dans la gouvernance globale des risques tiers.</v>
      </c>
      <c r="I26" s="140"/>
      <c r="J26" s="140" t="str">
        <f>IFERROR(__xludf.DUMMYFUNCTION("""COMPUTED_VALUE"""),"06 - Fournisseurs / Supply Chain")</f>
        <v>06 - Fournisseurs / Supply Chain</v>
      </c>
      <c r="K26" s="140"/>
      <c r="L26" s="140"/>
      <c r="M26" s="140"/>
      <c r="N26" s="140"/>
      <c r="O26" s="140"/>
      <c r="P26" s="140"/>
      <c r="Q26" s="140"/>
      <c r="R26" s="140"/>
      <c r="S26" s="140"/>
      <c r="T26" s="140"/>
      <c r="U26" s="140"/>
      <c r="V26" s="140"/>
      <c r="W26" s="140"/>
      <c r="X26" s="140"/>
      <c r="Y26" s="140"/>
      <c r="Z26" s="140"/>
    </row>
    <row r="27" ht="75.0" customHeight="1">
      <c r="A27" s="27"/>
      <c r="B27" s="147">
        <v>25.0</v>
      </c>
      <c r="C27" s="158" t="s">
        <v>495</v>
      </c>
      <c r="D27" s="158" t="s">
        <v>496</v>
      </c>
      <c r="E27" s="158" t="s">
        <v>497</v>
      </c>
      <c r="F27" s="91" t="s">
        <v>13</v>
      </c>
      <c r="G27" s="24" t="str">
        <f t="array" ref="G27">IF(F27="", "", IFERROR(INDEX('Echelle de maturité'!$B$2:$B$7, MATCH(F27, 'Echelle de maturité'!$C$2:$C$7, 0)), ""))</f>
        <v>Des objectifs de réduction des risques cyber intégrés à la stratégie de l'organisation. Des moyens humains, budgétaires conséquents, un plan d'action cyber exhaustif, adapté aux menaces stratégiques.</v>
      </c>
      <c r="H27" s="24" t="str">
        <f>IF($F27="1 - Insuffisant",
"Mettre en place un programme de revue des fournisseurs critiques afin d'évaluer leur niveau de risque et leur conformité aux exigences de cybersécurité de l'organisation.",
IF($F27="2 - Émergent",
"Formaliser le processus de revue des fournisseurs en définissant une fréquence, des critères d'évaluation et les responsabilités associées à ces revues.",
IF($F27="3 - Intermédiaire",
"Généraliser les revues à l'ensemble des fournisseurs critiques et intégrer leurs résultats dans la gestion des risques et les décisions de maintien ou de renouvellement des relations.",
IF($F27="4 - Confirmé",
"Maintenir un dispositif de revue régulier des fournisseurs critiques, suivre leurs performances et intégrer les résultats dans le pilotage global des risques tiers.",
IF($F27="5 - Optimal",
"Optimiser la revue des fournisseurs en intégrant les résultats dans une démarche continue de gestion des risques tiers, en adaptant les exigences selon l'évolution du niveau de risque et en renforçant la prise de décision basée sur la performance et la cr"&amp;"iticité.",
IF($F27="Non applicable",
"Non applicable.",
""))))))</f>
        <v>Optimiser la revue des fournisseurs en intégrant les résultats dans une démarche continue de gestion des risques tiers, en adaptant les exigences selon l'évolution du niveau de risque et en renforçant la prise de décision basée sur la performance et la criticité.</v>
      </c>
      <c r="I27" s="140"/>
      <c r="J27" s="140" t="str">
        <f>IFERROR(__xludf.DUMMYFUNCTION("""COMPUTED_VALUE"""),"06 - Fournisseurs / Supply Chain")</f>
        <v>06 - Fournisseurs / Supply Chain</v>
      </c>
      <c r="K27" s="140"/>
      <c r="L27" s="140"/>
      <c r="M27" s="140"/>
      <c r="N27" s="140"/>
      <c r="O27" s="140"/>
      <c r="P27" s="140"/>
      <c r="Q27" s="140"/>
      <c r="R27" s="140"/>
      <c r="S27" s="140"/>
      <c r="T27" s="140"/>
      <c r="U27" s="140"/>
      <c r="V27" s="140"/>
      <c r="W27" s="140"/>
      <c r="X27" s="140"/>
      <c r="Y27" s="140"/>
      <c r="Z27" s="140"/>
    </row>
    <row r="28" ht="84.0" customHeight="1">
      <c r="A28" s="159" t="s">
        <v>498</v>
      </c>
      <c r="B28" s="147">
        <v>26.0</v>
      </c>
      <c r="C28" s="160" t="s">
        <v>499</v>
      </c>
      <c r="D28" s="160" t="s">
        <v>500</v>
      </c>
      <c r="E28" s="160" t="s">
        <v>501</v>
      </c>
      <c r="F28" s="91" t="s">
        <v>13</v>
      </c>
      <c r="G28" s="24" t="str">
        <f t="array" ref="G28">IF(F28="", "", IFERROR(INDEX('Echelle de maturité'!$B$2:$B$7, MATCH(F28, 'Echelle de maturité'!$C$2:$C$7, 0)), ""))</f>
        <v>Des objectifs de réduction des risques cyber intégrés à la stratégie de l'organisation. Des moyens humains, budgétaires conséquents, un plan d'action cyber exhaustif, adapté aux menaces stratégiques.</v>
      </c>
      <c r="H28" s="24" t="str">
        <f>IF($F28="1 - Insuffisant",
"Mettre en place le chiffrement des données sensibles, en particulier sur les systèmes critiques, les échanges et les supports de stockage exposés.",
IF($F28="2 - Émergent",
"Formaliser une politique de chiffrement définissant les types de données à protéger, les méthodes de chiffrement et les exigences minimales de sécurité, puis étendre progressivement son application.",
IF($F28="3 - Intermédiaire",
"Étendre la couverture du chiffrement à l'ensemble des données critiques et des flux sensibles, et encadrer les exceptions avec des règles formelles de validation et de traçabilité.",
IF($F28="4 - Confirmé",
"Maintenir la conformité du chiffrement par des contrôles réguliers, assurer la gestion des exceptions et suivre les évolutions des pratiques et des exigences de sécurité.",
IF($F28="5 - Optimal",
"Optimiser la protection des données par chiffrement en adaptant continuellement les mécanismes aux évolutions des menaces et des usages, et en renforçant la gouvernance de la protection des données sensibles.",
IF($F28="Non applicable",
"Non applicable.",
""))))))</f>
        <v>Optimiser la protection des données par chiffrement en adaptant continuellement les mécanismes aux évolutions des menaces et des usages, et en renforçant la gouvernance de la protection des données sensibles.</v>
      </c>
      <c r="I28" s="140"/>
      <c r="J28" s="140" t="str">
        <f>IFERROR(__xludf.DUMMYFUNCTION("""COMPUTED_VALUE"""),"07 - Protection des données &amp; Cryptographie")</f>
        <v>07 - Protection des données &amp; Cryptographie</v>
      </c>
      <c r="K28" s="140"/>
      <c r="L28" s="140"/>
      <c r="M28" s="140"/>
      <c r="N28" s="140"/>
      <c r="O28" s="140"/>
      <c r="P28" s="140"/>
      <c r="Q28" s="140"/>
      <c r="R28" s="140"/>
      <c r="S28" s="140"/>
      <c r="T28" s="140"/>
      <c r="U28" s="140"/>
      <c r="V28" s="140"/>
      <c r="W28" s="140"/>
      <c r="X28" s="140"/>
      <c r="Y28" s="140"/>
      <c r="Z28" s="140"/>
    </row>
    <row r="29" ht="84.0" customHeight="1">
      <c r="A29" s="26"/>
      <c r="B29" s="147">
        <v>27.0</v>
      </c>
      <c r="C29" s="160" t="s">
        <v>502</v>
      </c>
      <c r="D29" s="160" t="s">
        <v>503</v>
      </c>
      <c r="E29" s="160" t="s">
        <v>504</v>
      </c>
      <c r="F29" s="91" t="s">
        <v>11</v>
      </c>
      <c r="G29" s="24" t="str">
        <f t="array" ref="G29">IF(F29="", "", IFERROR(INDEX('Echelle de maturité'!$B$2:$B$7, MATCH(F29, 'Echelle de maturité'!$C$2:$C$7, 0)), ""))</f>
        <v>Une cartographie précise de ses risques cyber pour l'organisation, un plan d'action cyber approfondi et des moyens humains et budgétaires dédiés.</v>
      </c>
      <c r="H29" s="24" t="str">
        <f>IF($F29="1 - Insuffisant",
"Mettre en place le chiffrement des communications pour les flux sensibles et critiques afin de protéger les échanges de données contre les interceptions et altérations.",
IF($F29="2 - Émergent",
"Formaliser l'utilisation du chiffrement des communications en définissant les types de flux concernés et en généralisant progressivement son application aux échanges sensibles.",
IF($F29="3 - Intermédiaire",
"Étendre la couverture du chiffrement des communications à l'ensemble des flux critiques et mettre en place des contrôles réguliers de conformité et d'application.",
IF($F29="4 - Confirmé",
"Maintenir les mécanismes de chiffrement des communications, surveiller les vulnérabilités associées et assurer une gestion régulière de la conformité et des exceptions.",
IF($F29="5 - Optimal",
"Optimiser la protection des communications en adaptant continuellement les mécanismes de chiffrement aux évolutions technologiques et aux menaces, et en renforçant la résilience globale des échanges de données.",
IF($F29="Non applicable",
"Non applicable.",
""))))))</f>
        <v>Maintenir les mécanismes de chiffrement des communications, surveiller les vulnérabilités associées et assurer une gestion régulière de la conformité et des exceptions.</v>
      </c>
      <c r="I29" s="140"/>
      <c r="J29" s="140" t="str">
        <f>IFERROR(__xludf.DUMMYFUNCTION("""COMPUTED_VALUE"""),"07 - Protection des données &amp; Cryptographie")</f>
        <v>07 - Protection des données &amp; Cryptographie</v>
      </c>
      <c r="K29" s="140"/>
      <c r="L29" s="140"/>
      <c r="M29" s="140"/>
      <c r="N29" s="140"/>
      <c r="O29" s="140"/>
      <c r="P29" s="140"/>
      <c r="Q29" s="140"/>
      <c r="R29" s="140"/>
      <c r="S29" s="140"/>
      <c r="T29" s="140"/>
      <c r="U29" s="140"/>
      <c r="V29" s="140"/>
      <c r="W29" s="140"/>
      <c r="X29" s="140"/>
      <c r="Y29" s="140"/>
      <c r="Z29" s="140"/>
    </row>
    <row r="30" ht="79.5" customHeight="1">
      <c r="A30" s="27"/>
      <c r="B30" s="147">
        <v>28.0</v>
      </c>
      <c r="C30" s="160" t="s">
        <v>505</v>
      </c>
      <c r="D30" s="160" t="s">
        <v>506</v>
      </c>
      <c r="E30" s="160" t="s">
        <v>507</v>
      </c>
      <c r="F30" s="91" t="s">
        <v>13</v>
      </c>
      <c r="G30" s="24" t="str">
        <f t="array" ref="G30">IF(F30="", "", IFERROR(INDEX('Echelle de maturité'!$B$2:$B$7, MATCH(F30, 'Echelle de maturité'!$C$2:$C$7, 0)), ""))</f>
        <v>Des objectifs de réduction des risques cyber intégrés à la stratégie de l'organisation. Des moyens humains, budgétaires conséquents, un plan d'action cyber exhaustif, adapté aux menaces stratégiques.</v>
      </c>
      <c r="H30" s="24" t="str">
        <f>IF($F30="1 - Insuffisant",
"Définir une politique de gestion des clés cryptographiques couvrant leur cycle de vie, leur utilisation et les principes de sécurité associés.",
IF($F30="2 - Émergent",
"Formaliser les procédures de gestion des clés cryptographiques, incluant leur génération, stockage, rotation, sauvegarde et révocation.",
IF($F30="3 - Intermédiaire",
"Mettre en place des contrôles réguliers de l'application des procédures de gestion des clés et encadrer strictement les accès aux éléments cryptographiques sensibles.",
IF($F30="4 - Confirmé",
"Maintenir un dispositif robuste de gestion des clés cryptographiques, assurer des contrôles réguliers et surveiller les risques liés à leur utilisation et à leur protection.",
IF($F30="5 - Optimal",
"Optimiser la gestion des clés cryptographiques en adaptant en continu les mécanismes de protection aux évolutions des menaces et des technologies, et en renforçant la gouvernance globale du cycle de vie des clés.",
IF($F30="Non applicable",
"Non applicable.",
""))))))</f>
        <v>Optimiser la gestion des clés cryptographiques en adaptant en continu les mécanismes de protection aux évolutions des menaces et des technologies, et en renforçant la gouvernance globale du cycle de vie des clés.</v>
      </c>
      <c r="I30" s="140"/>
      <c r="J30" s="140" t="str">
        <f>IFERROR(__xludf.DUMMYFUNCTION("""COMPUTED_VALUE"""),"07 - Protection des données &amp; Cryptographie")</f>
        <v>07 - Protection des données &amp; Cryptographie</v>
      </c>
      <c r="K30" s="140"/>
      <c r="L30" s="140"/>
      <c r="M30" s="140"/>
      <c r="N30" s="140"/>
      <c r="O30" s="140"/>
      <c r="P30" s="140"/>
      <c r="Q30" s="140"/>
      <c r="R30" s="140"/>
      <c r="S30" s="140"/>
      <c r="T30" s="140"/>
      <c r="U30" s="140"/>
      <c r="V30" s="140"/>
      <c r="W30" s="140"/>
      <c r="X30" s="140"/>
      <c r="Y30" s="140"/>
      <c r="Z30" s="140"/>
    </row>
    <row r="31" ht="75.0" customHeight="1">
      <c r="A31" s="161" t="s">
        <v>508</v>
      </c>
      <c r="B31" s="147">
        <v>29.0</v>
      </c>
      <c r="C31" s="91" t="s">
        <v>509</v>
      </c>
      <c r="D31" s="91" t="s">
        <v>510</v>
      </c>
      <c r="E31" s="91" t="s">
        <v>511</v>
      </c>
      <c r="F31" s="91" t="s">
        <v>11</v>
      </c>
      <c r="G31" s="24" t="str">
        <f t="array" ref="G31">IF(F31="", "", IFERROR(INDEX('Echelle de maturité'!$B$2:$B$7, MATCH(F31, 'Echelle de maturité'!$C$2:$C$7, 0)), ""))</f>
        <v>Une cartographie précise de ses risques cyber pour l'organisation, un plan d'action cyber approfondi et des moyens humains et budgétaires dédiés.</v>
      </c>
      <c r="H31" s="24" t="str">
        <f>IF($F31="1 - Insuffisant",
"Mettre en place un programme de sensibilisation à la cybersécurité pour l'ensemble des collaborateurs afin de développer une culture de sécurité de base au sein de l'organisation.",
IF($F31="2 - Émergent",
"Formaliser un plan annuel de sensibilisation à la cybersécurité en définissant les thématiques prioritaires en fonction des risques et les populations cibles.",
IF($F31="3 - Intermédiaire",
"Structurer le programme de sensibilisation en suivant la participation des collaborateurs et en renforçant la diffusion des bonnes pratiques de cybersécurité.",
IF($F31="4 - Confirmé",
"Maintenir un programme de sensibilisation régulier et structuré, actualiser les contenus en fonction de l'évolution des menaces et suivre des indicateurs d'efficacité.",
IF($F31="5 - Optimal",
"Optimiser la sensibilisation à la cybersécurité en adaptant continuellement les contenus aux risques émergents, en renforçant l'engagement des collaborateurs et en mesurant l'impact du programme sur les comportements de sécurité.",
IF($F31="Non applicable",
"Non applicable.",
""))))))</f>
        <v>Maintenir un programme de sensibilisation régulier et structuré, actualiser les contenus en fonction de l'évolution des menaces et suivre des indicateurs d'efficacité.</v>
      </c>
      <c r="I31" s="140"/>
      <c r="J31" s="140" t="str">
        <f>IFERROR(__xludf.DUMMYFUNCTION("""COMPUTED_VALUE"""),"08 - Sensibilisation &amp; Surveillance")</f>
        <v>08 - Sensibilisation &amp; Surveillance</v>
      </c>
      <c r="K31" s="140"/>
      <c r="L31" s="140"/>
      <c r="M31" s="140"/>
      <c r="N31" s="140"/>
      <c r="O31" s="140"/>
      <c r="P31" s="140"/>
      <c r="Q31" s="140"/>
      <c r="R31" s="140"/>
      <c r="S31" s="140"/>
      <c r="T31" s="140"/>
      <c r="U31" s="140"/>
      <c r="V31" s="140"/>
      <c r="W31" s="140"/>
      <c r="X31" s="140"/>
      <c r="Y31" s="140"/>
      <c r="Z31" s="140"/>
    </row>
    <row r="32" ht="70.5" customHeight="1">
      <c r="A32" s="26"/>
      <c r="B32" s="147">
        <v>30.0</v>
      </c>
      <c r="C32" s="91" t="s">
        <v>512</v>
      </c>
      <c r="D32" s="91" t="s">
        <v>513</v>
      </c>
      <c r="E32" s="91" t="s">
        <v>514</v>
      </c>
      <c r="F32" s="91" t="s">
        <v>13</v>
      </c>
      <c r="G32" s="24" t="str">
        <f t="array" ref="G32">IF(F32="", "", IFERROR(INDEX('Echelle de maturité'!$B$2:$B$7, MATCH(F32, 'Echelle de maturité'!$C$2:$C$7, 0)), ""))</f>
        <v>Des objectifs de réduction des risques cyber intégrés à la stratégie de l'organisation. Des moyens humains, budgétaires conséquents, un plan d'action cyber exhaustif, adapté aux menaces stratégiques.</v>
      </c>
      <c r="H32" s="24" t="str">
        <f>IF($F32="1 - Insuffisant",
"Mettre en place un plan de formation en cybersécurité adapté aux rôles et responsabilités techniques et opérationnels au sein de l'organisation.",
IF($F32="2 - Émergent",
"Formaliser les besoins de formation en cybersécurité, définir les parcours par profil et assurer un suivi structuré des formations réalisées.",
IF($F32="3 - Intermédiaire",
"Évaluer régulièrement les compétences en cybersécurité et compléter les formations afin de couvrir les besoins identifiés et les écarts de compétences.",
IF($F32="4 - Confirmé",
"Maintenir et développer le niveau de compétence en cybersécurité, encourager la montée en expertise (formations avancées, certifications) et suivre l'évolution des besoins techniques.",
IF($F32="5 - Optimal",
"Optimiser la gestion des compétences en cybersécurité en intégrant une démarche continue de développement des savoirs, en anticipant les évolutions technologiques et en alignant les compétences sur les enjeux stratégiques de sécurité.",
IF($F32="Non applicable",
"Non applicable.",
""))))))</f>
        <v>Optimiser la gestion des compétences en cybersécurité en intégrant une démarche continue de développement des savoirs, en anticipant les évolutions technologiques et en alignant les compétences sur les enjeux stratégiques de sécurité.</v>
      </c>
      <c r="I32" s="140"/>
      <c r="J32" s="140" t="str">
        <f>IFERROR(__xludf.DUMMYFUNCTION("""COMPUTED_VALUE"""),"08 - Sensibilisation &amp; Surveillance")</f>
        <v>08 - Sensibilisation &amp; Surveillance</v>
      </c>
      <c r="K32" s="140"/>
      <c r="L32" s="140"/>
      <c r="M32" s="140"/>
      <c r="N32" s="140"/>
      <c r="O32" s="140"/>
      <c r="P32" s="140"/>
      <c r="Q32" s="140"/>
      <c r="R32" s="140"/>
      <c r="S32" s="140"/>
      <c r="T32" s="140"/>
      <c r="U32" s="140"/>
      <c r="V32" s="140"/>
      <c r="W32" s="140"/>
      <c r="X32" s="140"/>
      <c r="Y32" s="140"/>
      <c r="Z32" s="140"/>
    </row>
    <row r="33" ht="64.5" customHeight="1">
      <c r="A33" s="26"/>
      <c r="B33" s="147">
        <v>31.0</v>
      </c>
      <c r="C33" s="91" t="s">
        <v>515</v>
      </c>
      <c r="D33" s="91" t="s">
        <v>516</v>
      </c>
      <c r="E33" s="91" t="s">
        <v>517</v>
      </c>
      <c r="F33" s="91" t="s">
        <v>16</v>
      </c>
      <c r="G33" s="24" t="str">
        <f t="array" ref="G33">IF(F33="", "", IFERROR(INDEX('Echelle de maturité'!$B$2:$B$7, MATCH(F33, 'Echelle de maturité'!$C$2:$C$7, 0)), ""))</f>
        <v>Le critère ou l'exigence évalué n'est pas pertinent au regard des activités, du périmètre technique ou du cadre réglementaire de l'organisation.</v>
      </c>
      <c r="H33" s="24" t="str">
        <f>IF($F33="1 - Insuffisant",
"Mettre en place des campagnes de simulation de phishing afin d'évaluer la sensibilisation des utilisateurs aux risques d'hameçonnage et aux comportements à risque.",
IF($F33="2 - Émergent",
"Formaliser les campagnes de simulation de phishing en définissant leur fréquence, leur périmètre et les modalités d'analyse des résultats obtenus.",
IF($F33="3 - Intermédiaire",
"Exploiter les résultats des campagnes de simulation de phishing pour adapter et renforcer les actions de sensibilisation et corriger les comportements à risque identifiés.",
IF($F33="4 - Confirmé",
"Maintenir des campagnes régulières de simulation de phishing et suivre des indicateurs d'évolution des comportements des utilisateurs afin d'améliorer continuellement le niveau de vigilance.",
IF($F33="5 - Optimal",
"Optimiser la résilience humaine face au phishing en intégrant les résultats des simulations dans une démarche globale d'amélioration continue de la culture de cybersécurité et de réduction des comportements à risque.",
IF($F33="Non applicable",
"Non applicable.",
""))))))</f>
        <v>Non applicable.</v>
      </c>
      <c r="I33" s="140"/>
      <c r="J33" s="140" t="str">
        <f>IFERROR(__xludf.DUMMYFUNCTION("""COMPUTED_VALUE"""),"08 - Sensibilisation &amp; Surveillance")</f>
        <v>08 - Sensibilisation &amp; Surveillance</v>
      </c>
      <c r="K33" s="140"/>
      <c r="L33" s="140"/>
      <c r="M33" s="140"/>
      <c r="N33" s="140"/>
      <c r="O33" s="140"/>
      <c r="P33" s="140"/>
      <c r="Q33" s="140"/>
      <c r="R33" s="140"/>
      <c r="S33" s="140"/>
      <c r="T33" s="140"/>
      <c r="U33" s="140"/>
      <c r="V33" s="140"/>
      <c r="W33" s="140"/>
      <c r="X33" s="140"/>
      <c r="Y33" s="140"/>
      <c r="Z33" s="140"/>
    </row>
    <row r="34" ht="70.5" customHeight="1">
      <c r="A34" s="26"/>
      <c r="B34" s="147">
        <v>32.0</v>
      </c>
      <c r="C34" s="91" t="s">
        <v>518</v>
      </c>
      <c r="D34" s="91" t="s">
        <v>519</v>
      </c>
      <c r="E34" s="91" t="s">
        <v>520</v>
      </c>
      <c r="F34" s="91" t="s">
        <v>16</v>
      </c>
      <c r="G34" s="24" t="str">
        <f t="array" ref="G34">IF(F34="", "", IFERROR(INDEX('Echelle de maturité'!$B$2:$B$7, MATCH(F34, 'Echelle de maturité'!$C$2:$C$7, 0)), ""))</f>
        <v>Le critère ou l'exigence évalué n'est pas pertinent au regard des activités, du périmètre technique ou du cadre réglementaire de l'organisation.</v>
      </c>
      <c r="H34" s="24" t="str">
        <f>IF($F34="1 - Insuffisant",
"Définir une politique de journalisation de sécurité identifiant les événements à collecter, les systèmes concernés et les objectifs de traçabilité.",
IF($F34="2 - Émergent",
"Formaliser la centralisation des journaux de sécurité, définir les durées de conservation et mettre en place un stockage adapté pour les événements critiques.",
IF($F34="3 - Intermédiaire",
"Étendre la couverture de journalisation à l'ensemble des systèmes critiques et améliorer la qualité des logs en assurant leur complétude, leur cohérence et leur exploitabilité.",
IF($F34="4 - Confirmé",
"Maintenir un dispositif de journalisation efficace, surveiller régulièrement la qualité et la disponibilité des logs et suivre des indicateurs de couverture et d'intégrité des événements de sécurité.",
IF($F34="5 - Optimal",
"Optimiser la journalisation en renforçant la capacité d'analyse et d'exploitation des événements de sécurité, en adaptant continuellement la couverture aux menaces et en intégrant la journalisation dans une stratégie globale de détection et de réponse.",
IF($F34="Non applicable",
"Non applicable.",
""))))))</f>
        <v>Non applicable.</v>
      </c>
      <c r="I34" s="140"/>
      <c r="J34" s="140" t="str">
        <f>IFERROR(__xludf.DUMMYFUNCTION("""COMPUTED_VALUE"""),"08 - Sensibilisation &amp; Surveillance")</f>
        <v>08 - Sensibilisation &amp; Surveillance</v>
      </c>
      <c r="K34" s="140"/>
      <c r="L34" s="140"/>
      <c r="M34" s="140"/>
      <c r="N34" s="140"/>
      <c r="O34" s="140"/>
      <c r="P34" s="140"/>
      <c r="Q34" s="140"/>
      <c r="R34" s="140"/>
      <c r="S34" s="140"/>
      <c r="T34" s="140"/>
      <c r="U34" s="140"/>
      <c r="V34" s="140"/>
      <c r="W34" s="140"/>
      <c r="X34" s="140"/>
      <c r="Y34" s="140"/>
      <c r="Z34" s="140"/>
    </row>
    <row r="35" ht="73.5" customHeight="1">
      <c r="A35" s="27"/>
      <c r="B35" s="147">
        <v>33.0</v>
      </c>
      <c r="C35" s="91" t="s">
        <v>521</v>
      </c>
      <c r="D35" s="91" t="s">
        <v>522</v>
      </c>
      <c r="E35" s="91" t="s">
        <v>523</v>
      </c>
      <c r="F35" s="91" t="s">
        <v>11</v>
      </c>
      <c r="G35" s="24" t="str">
        <f t="array" ref="G35">IF(F35="", "", IFERROR(INDEX('Echelle de maturité'!$B$2:$B$7, MATCH(F35, 'Echelle de maturité'!$C$2:$C$7, 0)), ""))</f>
        <v>Une cartographie précise de ses risques cyber pour l'organisation, un plan d'action cyber approfondi et des moyens humains et budgétaires dédiés.</v>
      </c>
      <c r="H35" s="24" t="str">
        <f>IF($F35="1 - Insuffisant",
"Mettre en place une capacité de surveillance des événements de sécurité et des mécanismes d'alerte afin d'identifier les activités suspectes sur le système d'information.",
IF($F35="2 - Émergent",
"Formaliser les processus de surveillance de sécurité en définissant les responsabilités, les règles de détection et les modalités de traitement des alertes.",
IF($F35="3 - Intermédiaire",
"Étendre la couverture de détection à l'ensemble des systèmes critiques et améliorer le traitement des alertes de sécurité de manière structurée et priorisée.",
IF($F35="4 - Confirmé",
"Maintenir et ajuster les capacités de détection de sécurité, optimiser les règles de corrélation et suivre des indicateurs de performance tels que le MTTD, le taux de faux positifs et les incidents détectés.",
IF($F35="5 - Optimal",
"Optimiser la détection des menaces en améliorant continuellement les capacités de surveillance, en adaptant les règles aux nouvelles menaces et en renforçant l'efficacité globale du dispositif de détection et de réponse.",
IF($F35="Non applicable",
"Non applicable.",
""))))))</f>
        <v>Maintenir et ajuster les capacités de détection de sécurité, optimiser les règles de corrélation et suivre des indicateurs de performance tels que le MTTD, le taux de faux positifs et les incidents détectés.</v>
      </c>
      <c r="I35" s="140"/>
      <c r="J35" s="140" t="str">
        <f>IFERROR(__xludf.DUMMYFUNCTION("""COMPUTED_VALUE"""),"08 - Sensibilisation &amp; Surveillance")</f>
        <v>08 - Sensibilisation &amp; Surveillance</v>
      </c>
      <c r="K35" s="140"/>
      <c r="L35" s="140"/>
      <c r="M35" s="140"/>
      <c r="N35" s="140"/>
      <c r="O35" s="140"/>
      <c r="P35" s="140"/>
      <c r="Q35" s="140"/>
      <c r="R35" s="140"/>
      <c r="S35" s="140"/>
      <c r="T35" s="140"/>
      <c r="U35" s="140"/>
      <c r="V35" s="140"/>
      <c r="W35" s="140"/>
      <c r="X35" s="140"/>
      <c r="Y35" s="140"/>
      <c r="Z35" s="140"/>
    </row>
    <row r="36" ht="69.0" customHeight="1">
      <c r="A36" s="153" t="s">
        <v>524</v>
      </c>
      <c r="B36" s="147">
        <v>34.0</v>
      </c>
      <c r="C36" s="162" t="s">
        <v>525</v>
      </c>
      <c r="D36" s="162" t="s">
        <v>526</v>
      </c>
      <c r="E36" s="162" t="s">
        <v>527</v>
      </c>
      <c r="F36" s="91" t="s">
        <v>13</v>
      </c>
      <c r="G36" s="24" t="str">
        <f t="array" ref="G36">IF(F36="", "", IFERROR(INDEX('Echelle de maturité'!$B$2:$B$7, MATCH(F36, 'Echelle de maturité'!$C$2:$C$7, 0)), ""))</f>
        <v>Des objectifs de réduction des risques cyber intégrés à la stratégie de l'organisation. Des moyens humains, budgétaires conséquents, un plan d'action cyber exhaustif, adapté aux menaces stratégiques.</v>
      </c>
      <c r="H36" s="24" t="str">
        <f>IF($F36="1 - Insuffisant",
"Mettre en place une segmentation réseau afin de séparer les environnements critiques, utilisateurs et administratifs pour limiter la propagation des menaces.",
IF($F36="2 - Émergent",
"Formaliser la segmentation réseau en documentant les zones de sécurité existantes et en définissant des règles de filtrage des flux entre ces zones.",
IF($F36="3 - Intermédiaire",
"Contrôler régulièrement l'efficacité de la segmentation réseau, identifier les écarts de configuration et renforcer les règles de cloisonnement entre environnements.",
IF($F36="4 - Confirmé",
"Maintenir une architecture réseau sécurisée et cohérente, réaliser des revues périodiques de segmentation et adapter les règles aux évolutions des risques et du système d'information.",
IF($F36="5 - Optimal",
"Optimiser la segmentation réseau en renforçant en continu le cloisonnement des environnements critiques, en adaptant dynamiquement les règles de segmentation aux menaces et en intégrant cette approche dans une stratégie globale de sécurité du réseau.",
IF($F36="Non applicable",
"Non applicable.",
""))))))</f>
        <v>Optimiser la segmentation réseau en renforçant en continu le cloisonnement des environnements critiques, en adaptant dynamiquement les règles de segmentation aux menaces et en intégrant cette approche dans une stratégie globale de sécurité du réseau.</v>
      </c>
      <c r="I36" s="140"/>
      <c r="J36" s="141" t="s">
        <v>528</v>
      </c>
      <c r="K36" s="140"/>
      <c r="L36" s="140"/>
      <c r="M36" s="140"/>
      <c r="N36" s="140"/>
      <c r="O36" s="140"/>
      <c r="P36" s="140"/>
      <c r="Q36" s="140"/>
      <c r="R36" s="140"/>
      <c r="S36" s="140"/>
      <c r="T36" s="140"/>
      <c r="U36" s="140"/>
      <c r="V36" s="140"/>
      <c r="W36" s="140"/>
      <c r="X36" s="140"/>
      <c r="Y36" s="140"/>
      <c r="Z36" s="140"/>
    </row>
    <row r="37" ht="69.0" customHeight="1">
      <c r="A37" s="26"/>
      <c r="B37" s="147">
        <v>35.0</v>
      </c>
      <c r="C37" s="162" t="s">
        <v>529</v>
      </c>
      <c r="D37" s="162" t="s">
        <v>530</v>
      </c>
      <c r="E37" s="162" t="s">
        <v>531</v>
      </c>
      <c r="F37" s="91" t="s">
        <v>13</v>
      </c>
      <c r="G37" s="24" t="str">
        <f t="array" ref="G37">IF(F37="", "", IFERROR(INDEX('Echelle de maturité'!$B$2:$B$7, MATCH(F37, 'Echelle de maturité'!$C$2:$C$7, 0)), ""))</f>
        <v>Des objectifs de réduction des risques cyber intégrés à la stratégie de l'organisation. Des moyens humains, budgétaires conséquents, un plan d'action cyber exhaustif, adapté aux menaces stratégiques.</v>
      </c>
      <c r="H37" s="24" t="str">
        <f>IF($F37="1 - Insuffisant",
"Définir des standards de configuration sécurisée pour l'ensemble des systèmes afin de réduire les risques liés aux mauvaises configurations.",
IF($F37="2 - Émergent",
"Formaliser des configurations de référence sécurisées (baseline) et les documenter pour les principaux systèmes et environnements.",
IF($F37="3 - Intermédiaire",
"Contrôler périodiquement la conformité des configurations aux standards définis et corriger les écarts identifiés sur les systèmes critiques.",
IF($F37="4 - Confirmé",
"Maintenir les standards de configuration sécurisée et adapter régulièrement les configurations aux nouveaux risques, aux évolutions technologiques et aux exigences de sécurité.",
IF($F37="5 - Optimal",
"Optimiser la gestion des configurations sécurisées en intégrant une amélioration continue des standards, en automatisant les contrôles de conformité et en adaptant en permanence les configurations aux menaces émergentes.",
IF($F37="Non applicable",
"Non applicable.",
""))))))</f>
        <v>Optimiser la gestion des configurations sécurisées en intégrant une amélioration continue des standards, en automatisant les contrôles de conformité et en adaptant en permanence les configurations aux menaces émergentes.</v>
      </c>
      <c r="I37" s="140"/>
      <c r="J37" s="141" t="s">
        <v>528</v>
      </c>
      <c r="K37" s="140"/>
      <c r="L37" s="140"/>
      <c r="M37" s="140"/>
      <c r="N37" s="140"/>
      <c r="O37" s="140"/>
      <c r="P37" s="140"/>
      <c r="Q37" s="140"/>
      <c r="R37" s="140"/>
      <c r="S37" s="140"/>
      <c r="T37" s="140"/>
      <c r="U37" s="140"/>
      <c r="V37" s="140"/>
      <c r="W37" s="140"/>
      <c r="X37" s="140"/>
      <c r="Y37" s="140"/>
      <c r="Z37" s="140"/>
    </row>
    <row r="38" ht="67.5" customHeight="1">
      <c r="A38" s="27"/>
      <c r="B38" s="147">
        <v>36.0</v>
      </c>
      <c r="C38" s="162" t="s">
        <v>532</v>
      </c>
      <c r="D38" s="162" t="s">
        <v>533</v>
      </c>
      <c r="E38" s="162" t="s">
        <v>534</v>
      </c>
      <c r="F38" s="91" t="s">
        <v>13</v>
      </c>
      <c r="G38" s="24" t="str">
        <f t="array" ref="G38">IF(F38="", "", IFERROR(INDEX('Echelle de maturité'!$B$2:$B$7, MATCH(F38, 'Echelle de maturité'!$C$2:$C$7, 0)), ""))</f>
        <v>Des objectifs de réduction des risques cyber intégrés à la stratégie de l'organisation. Des moyens humains, budgétaires conséquents, un plan d'action cyber exhaustif, adapté aux menaces stratégiques.</v>
      </c>
      <c r="H38" s="24" t="str">
        <f>IF($F38="1 - Insuffisant",
"Mettre en œuvre des mécanismes de sécurisation des communications et des architectures critiques afin de réduire les risques d'interception, de compromission et de propagation des attaques.",
IF($F38="2 - Émergent",
"Formaliser les mesures de sécurité existantes et documenter une architecture cible sécurisée en précisant les principes de protection des communications et des systèmes critiques.",
IF($F38="3 - Intermédiaire",
"Contrôler régulièrement l'efficacité des mesures de protection mises en place et corriger les écarts entre l'architecture cible et l'architecture réelle.",
IF($F38="4 - Confirmé",
"Maintenir les mesures de sécurité de l'architecture et des communications et les adapter en continu aux évolutions technologiques et aux nouveaux risques identifiés.",
IF($F38="5 - Optimal",
"Optimiser la sécurité des architectures et des communications en intégrant une démarche d'amélioration continue, en renforçant la résilience des systèmes et en adaptant en permanence les mécanismes de protection aux menaces émergentes.",
IF($F38="Non applicable",
"Non applicable.",
""))))))</f>
        <v>Optimiser la sécurité des architectures et des communications en intégrant une démarche d'amélioration continue, en renforçant la résilience des systèmes et en adaptant en permanence les mécanismes de protection aux menaces émergentes.</v>
      </c>
      <c r="I38" s="140"/>
      <c r="J38" s="141" t="s">
        <v>528</v>
      </c>
      <c r="K38" s="140"/>
      <c r="L38" s="140"/>
      <c r="M38" s="140"/>
      <c r="N38" s="140"/>
      <c r="O38" s="140"/>
      <c r="P38" s="140"/>
      <c r="Q38" s="140"/>
      <c r="R38" s="140"/>
      <c r="S38" s="140"/>
      <c r="T38" s="140"/>
      <c r="U38" s="140"/>
      <c r="V38" s="140"/>
      <c r="W38" s="140"/>
      <c r="X38" s="140"/>
      <c r="Y38" s="140"/>
      <c r="Z38" s="140"/>
    </row>
    <row r="39" ht="78.0" customHeight="1">
      <c r="A39" s="163" t="s">
        <v>535</v>
      </c>
      <c r="B39" s="147">
        <v>37.0</v>
      </c>
      <c r="C39" s="160" t="s">
        <v>536</v>
      </c>
      <c r="D39" s="160" t="s">
        <v>537</v>
      </c>
      <c r="E39" s="160" t="s">
        <v>538</v>
      </c>
      <c r="F39" s="91" t="s">
        <v>9</v>
      </c>
      <c r="G39" s="24" t="str">
        <f t="array" ref="G39">IF(F39="", "", IFERROR(INDEX('Echelle de maturité'!$B$2:$B$7, MATCH(F39, 'Echelle de maturité'!$C$2:$C$7, 0)), ""))</f>
        <v>Une conscience partagée des risques cyber pour l'organisation et la volonté de formaliser un plan d'action cyber complet tout en ajustant les moyens en conséquence.</v>
      </c>
      <c r="H39" s="24" t="str">
        <f>IF($F39="1 - Insuffisant",
"Intégrer des exigences de cybersécurité dès la conception des projets afin de réduire les risques dès les phases initiales de développement.",
IF($F39="2 - Émergent",
"Formaliser un processus de développement sécurisé en définissant les exigences de sécurité, les bonnes pratiques et les responsabilités associées aux équipes projets.",
IF($F39="3 - Intermédiaire",
"Contrôler le respect des exigences de sécurité dans les projets et s'assurer de leur prise en compte tout au long du cycle de vie des développements.",
IF($F39="4 - Confirmé",
"Améliorer en continu les pratiques de développement sécurisé en intégrant les retours d'expérience, les audits et les évolutions des menaces dans les standards de développement.",
IF($F39="5 - Optimal",
"Optimiser le développement sécurisé en intégrant la sécurité de manière systématique et automatisée dans les processus de développement, tout en renforçant la maturité globale des pratiques DevSecOps.",
IF($F39="Non applicable",
"Non applicable.",
""))))))</f>
        <v>Contrôler le respect des exigences de sécurité dans les projets et s'assurer de leur prise en compte tout au long du cycle de vie des développements.</v>
      </c>
      <c r="I39" s="140"/>
      <c r="J39" s="141" t="s">
        <v>539</v>
      </c>
      <c r="K39" s="140"/>
      <c r="L39" s="140"/>
      <c r="M39" s="140"/>
      <c r="N39" s="140"/>
      <c r="O39" s="140"/>
      <c r="P39" s="140"/>
      <c r="Q39" s="140"/>
      <c r="R39" s="140"/>
      <c r="S39" s="140"/>
      <c r="T39" s="140"/>
      <c r="U39" s="140"/>
      <c r="V39" s="140"/>
      <c r="W39" s="140"/>
      <c r="X39" s="140"/>
      <c r="Y39" s="140"/>
      <c r="Z39" s="140"/>
    </row>
    <row r="40" ht="82.5" customHeight="1">
      <c r="A40" s="26"/>
      <c r="B40" s="147">
        <v>38.0</v>
      </c>
      <c r="C40" s="160" t="s">
        <v>540</v>
      </c>
      <c r="D40" s="160" t="s">
        <v>541</v>
      </c>
      <c r="E40" s="160" t="s">
        <v>542</v>
      </c>
      <c r="F40" s="91" t="s">
        <v>11</v>
      </c>
      <c r="G40" s="24" t="str">
        <f t="array" ref="G40">IF(F40="", "", IFERROR(INDEX('Echelle de maturité'!$B$2:$B$7, MATCH(F40, 'Echelle de maturité'!$C$2:$C$7, 0)), ""))</f>
        <v>Une cartographie précise de ses risques cyber pour l'organisation, un plan d'action cyber approfondi et des moyens humains et budgétaires dédiés.</v>
      </c>
      <c r="H40" s="24" t="str">
        <f>IF($F40="1 - Insuffisant",
"Mettre en place des revues de code et des tests de sécurité applicatifs afin d'identifier les vulnérabilités dès les phases de développement.",
IF($F40="2 - Émergent",
"Formaliser les contrôles de sécurité applicative en définissant leur fréquence, leur périmètre et les responsabilités associées (revues de code, tests de sécurité).",
IF($F40="3 - Intermédiaire",
"Mesurer l'efficacité des contrôles de sécurité applicative et assurer le suivi des corrections des vulnérabilités identifiées jusqu'à leur résolution.",
IF($F40="4 - Confirmé",
"Maintenir et renforcer l'automatisation des contrôles de sécurité applicative et intégrer les pratiques DevSecOps dans les processus de développement et de livraison.",
IF($F40="5 - Optimal",
"Optimiser la sécurité applicative en intégrant une démarche DevSecOps mature, en automatisant les contrôles de sécurité tout au long du cycle de développement et en améliorant continuellement la détection et la correction des vulnérabilités.",
IF($F40="Non applicable",
"Non applicable.",
""))))))</f>
        <v>Maintenir et renforcer l'automatisation des contrôles de sécurité applicative et intégrer les pratiques DevSecOps dans les processus de développement et de livraison.</v>
      </c>
      <c r="I40" s="140"/>
      <c r="J40" s="141" t="s">
        <v>539</v>
      </c>
      <c r="K40" s="140"/>
      <c r="L40" s="140"/>
      <c r="M40" s="140"/>
      <c r="N40" s="140"/>
      <c r="O40" s="140"/>
      <c r="P40" s="140"/>
      <c r="Q40" s="140"/>
      <c r="R40" s="140"/>
      <c r="S40" s="140"/>
      <c r="T40" s="140"/>
      <c r="U40" s="140"/>
      <c r="V40" s="140"/>
      <c r="W40" s="140"/>
      <c r="X40" s="140"/>
      <c r="Y40" s="140"/>
      <c r="Z40" s="140"/>
    </row>
    <row r="41" ht="87.0" customHeight="1">
      <c r="A41" s="27"/>
      <c r="B41" s="147">
        <v>39.0</v>
      </c>
      <c r="C41" s="160" t="s">
        <v>543</v>
      </c>
      <c r="D41" s="160" t="s">
        <v>544</v>
      </c>
      <c r="E41" s="160" t="s">
        <v>545</v>
      </c>
      <c r="F41" s="91" t="s">
        <v>5</v>
      </c>
      <c r="G41" s="24" t="str">
        <f t="array" ref="G41">IF(F41="", "", IFERROR(INDEX('Echelle de maturité'!$B$2:$B$7, MATCH(F41, 'Echelle de maturité'!$C$2:$C$7, 0)), ""))</f>
        <v>Une conscience insuffisante des risques cyber pesant sur l'organisation. Pas ou peu de mesures spécifiques mises en oeuvre en matière de cybersécurité.</v>
      </c>
      <c r="H41" s="24" t="str">
        <f>IF($F41="1 - Insuffisant",
"Définir et documenter les configurations de référence sécurisées pour les systèmes et composants critiques de l'organisation.",
IF($F41="2 - Émergent",
"Formaliser les processus de gestion des configurations en définissant les standards, les responsabilités et les modalités de mise à jour des configurations de référence.",
IF($F41="3 - Intermédiaire",
"Mettre en place des contrôles réguliers de conformité des configurations afin d'identifier et de corriger les écarts par rapport aux standards définis.",
IF($F41="4 - Confirmé",
"Maintenir les contrôles de conformité et automatiser la détection des écarts de configuration pour améliorer la réactivité et la fiabilité du dispositif.",
IF($F41="5 - Optimal",
"Optimiser la gestion des configurations sécurisées en intégrant une automatisation avancée des contrôles, en adaptant en continu les standards aux menaces et en renforçant la cohérence globale de l'environnement.",
IF($F41="Non applicable",
"Non applicable.",
""))))))</f>
        <v>Définir et documenter les configurations de référence sécurisées pour les systèmes et composants critiques de l'organisation.</v>
      </c>
      <c r="I41" s="140"/>
      <c r="J41" s="141" t="s">
        <v>539</v>
      </c>
      <c r="K41" s="140"/>
      <c r="L41" s="140"/>
      <c r="M41" s="140"/>
      <c r="N41" s="140"/>
      <c r="O41" s="140"/>
      <c r="P41" s="140"/>
      <c r="Q41" s="140"/>
      <c r="R41" s="140"/>
      <c r="S41" s="140"/>
      <c r="T41" s="140"/>
      <c r="U41" s="140"/>
      <c r="V41" s="140"/>
      <c r="W41" s="140"/>
      <c r="X41" s="140"/>
      <c r="Y41" s="140"/>
      <c r="Z41" s="140"/>
    </row>
    <row r="42" ht="87.0" customHeight="1">
      <c r="A42" s="164" t="s">
        <v>546</v>
      </c>
      <c r="B42" s="147">
        <v>40.0</v>
      </c>
      <c r="C42" s="165" t="s">
        <v>547</v>
      </c>
      <c r="D42" s="165" t="s">
        <v>548</v>
      </c>
      <c r="E42" s="165" t="s">
        <v>549</v>
      </c>
      <c r="F42" s="91" t="s">
        <v>13</v>
      </c>
      <c r="G42" s="24" t="str">
        <f t="array" ref="G42">IF(F42="", "", IFERROR(INDEX('Echelle de maturité'!$B$2:$B$7, MATCH(F42, 'Echelle de maturité'!$C$2:$C$7, 0)), ""))</f>
        <v>Des objectifs de réduction des risques cyber intégrés à la stratégie de l'organisation. Des moyens humains, budgétaires conséquents, un plan d'action cyber exhaustif, adapté aux menaces stratégiques.</v>
      </c>
      <c r="H42" s="24" t="str">
        <f>IF($F42="1 - Insuffisant",
"Mettre en place une activité de veille en cybersécurité afin d'identifier les menaces émergentes et les évolutions du paysage des risques.",
IF($F42="2 - Émergent",
"Formaliser les sources de renseignement en cybersécurité et structurer leur collecte, leur analyse et leur exploitation au sein de l'organisation.",
IF($F42="3 - Intermédiaire",
"Diffuser les informations pertinentes issues de la veille cybersécurité aux parties prenantes concernées afin d'améliorer la réactivité face aux menaces.",
IF($F42="4 - Confirmé",
"Maintenir et renforcer les capacités de veille en cybersécurité en améliorant continuellement la qualité des sources, l'analyse des menaces et la diffusion des informations.",
IF($F42="5 - Optimal",
"Optimiser la veille en cybersécurité en intégrant une approche proactive de renseignement sur les menaces, en adaptant en continu les capacités d'analyse et en renforçant la prise de décision basée sur l'intelligence des risques.",
IF($F42="Non applicable",
"Non applicable.",
""))))))</f>
        <v>Optimiser la veille en cybersécurité en intégrant une approche proactive de renseignement sur les menaces, en adaptant en continu les capacités d'analyse et en renforçant la prise de décision basée sur l'intelligence des risques.</v>
      </c>
      <c r="I42" s="140"/>
      <c r="J42" s="141" t="s">
        <v>550</v>
      </c>
      <c r="K42" s="140"/>
      <c r="L42" s="140"/>
      <c r="M42" s="140"/>
      <c r="N42" s="140"/>
      <c r="O42" s="140"/>
      <c r="P42" s="140"/>
      <c r="Q42" s="140"/>
      <c r="R42" s="140"/>
      <c r="S42" s="140"/>
      <c r="T42" s="140"/>
      <c r="U42" s="140"/>
      <c r="V42" s="140"/>
      <c r="W42" s="140"/>
      <c r="X42" s="140"/>
      <c r="Y42" s="140"/>
      <c r="Z42" s="140"/>
    </row>
    <row r="43" ht="64.5" customHeight="1">
      <c r="A43" s="26"/>
      <c r="B43" s="147">
        <v>41.0</v>
      </c>
      <c r="C43" s="165" t="s">
        <v>551</v>
      </c>
      <c r="D43" s="165" t="s">
        <v>552</v>
      </c>
      <c r="E43" s="165" t="s">
        <v>553</v>
      </c>
      <c r="F43" s="91" t="s">
        <v>13</v>
      </c>
      <c r="G43" s="24" t="str">
        <f t="array" ref="G43">IF(F43="", "", IFERROR(INDEX('Echelle de maturité'!$B$2:$B$7, MATCH(F43, 'Echelle de maturité'!$C$2:$C$7, 0)), ""))</f>
        <v>Des objectifs de réduction des risques cyber intégrés à la stratégie de l'organisation. Des moyens humains, budgétaires conséquents, un plan d'action cyber exhaustif, adapté aux menaces stratégiques.</v>
      </c>
      <c r="H43" s="24" t="str">
        <f>IF($F43="1 - Insuffisant",
"Mettre en place un programme de tests et d'audits de sécurité afin d'évaluer régulièrement le niveau de protection des systèmes et des processus.",
IF($F43="2 - Émergent",
"Formaliser la fréquence et le périmètre des évaluations de sécurité en définissant les types d'audits, les systèmes concernés et les responsabilités associées.",
IF($F43="3 - Intermédiaire",
"Suivre les plans de remédiation issus des audits et tests de sécurité et vérifier leur mise en œuvre ainsi que leur efficacité dans le temps.",
IF($F43="4 - Confirmé",
"Maintenir des évaluations de sécurité régulières et structurées et améliorer en continu la couverture des contrôles afin de renforcer la posture de sécurité globale.",
IF($F43="5 - Optimal",
"Optimiser le dispositif d'audit et de tests de sécurité en intégrant une démarche d'amélioration continue, en renforçant la profondeur des évaluations et en adaptant les contrôles aux menaces émergentes.",
IF($F43="Non applicable",
"Non applicable.",
""))))))</f>
        <v>Optimiser le dispositif d'audit et de tests de sécurité en intégrant une démarche d'amélioration continue, en renforçant la profondeur des évaluations et en adaptant les contrôles aux menaces émergentes.</v>
      </c>
      <c r="I43" s="140"/>
      <c r="J43" s="141" t="s">
        <v>550</v>
      </c>
      <c r="K43" s="140"/>
      <c r="L43" s="140"/>
      <c r="M43" s="140"/>
      <c r="N43" s="140"/>
      <c r="O43" s="140"/>
      <c r="P43" s="140"/>
      <c r="Q43" s="140"/>
      <c r="R43" s="140"/>
      <c r="S43" s="140"/>
      <c r="T43" s="140"/>
      <c r="U43" s="140"/>
      <c r="V43" s="140"/>
      <c r="W43" s="140"/>
      <c r="X43" s="140"/>
      <c r="Y43" s="140"/>
      <c r="Z43" s="140"/>
    </row>
    <row r="44" ht="66.75" customHeight="1">
      <c r="A44" s="26"/>
      <c r="B44" s="147">
        <v>42.0</v>
      </c>
      <c r="C44" s="165" t="s">
        <v>554</v>
      </c>
      <c r="D44" s="165" t="s">
        <v>555</v>
      </c>
      <c r="E44" s="165" t="s">
        <v>556</v>
      </c>
      <c r="F44" s="91" t="s">
        <v>13</v>
      </c>
      <c r="G44" s="24" t="str">
        <f t="array" ref="G44">IF(F44="", "", IFERROR(INDEX('Echelle de maturité'!$B$2:$B$7, MATCH(F44, 'Echelle de maturité'!$C$2:$C$7, 0)), ""))</f>
        <v>Des objectifs de réduction des risques cyber intégrés à la stratégie de l'organisation. Des moyens humains, budgétaires conséquents, un plan d'action cyber exhaustif, adapté aux menaces stratégiques.</v>
      </c>
      <c r="H44" s="24" t="str">
        <f>IF($F44="1 - Insuffisant",
"Définir une organisation et un plan de gestion de crise cyber afin de structurer la réponse de l'organisation en cas d'incident majeur.",
IF($F44="2 - Émergent",
"Formaliser les rôles, responsabilités et procédures d'escalade dans le cadre de la gestion de crise cyber afin d'assurer une coordination efficace.",
IF($F44="3 - Intermédiaire",
"Tester régulièrement le dispositif de gestion de crise cyber afin de valider son efficacité et d'identifier les axes d'amélioration.",
IF($F44="4 - Confirmé",
"Maintenir des exercices de gestion de crise cyber et améliorer en continu les plans et dispositifs de réponse afin de renforcer la résilience organisationnelle.",
IF($F44="5 - Optimal",
"Optimiser la gestion de crise cyber en intégrant une approche proactive et intégrée, en améliorant continuellement les capacités de réponse et en renforçant la coordination entre les parties prenantes.",
IF($F44="Non applicable",
"Non applicable.",
""))))))</f>
        <v>Optimiser la gestion de crise cyber en intégrant une approche proactive et intégrée, en améliorant continuellement les capacités de réponse et en renforçant la coordination entre les parties prenantes.</v>
      </c>
      <c r="I44" s="140"/>
      <c r="J44" s="141" t="s">
        <v>557</v>
      </c>
      <c r="K44" s="140"/>
      <c r="L44" s="140"/>
      <c r="M44" s="140"/>
      <c r="N44" s="140"/>
      <c r="O44" s="140"/>
      <c r="P44" s="140"/>
      <c r="Q44" s="140"/>
      <c r="R44" s="140"/>
      <c r="S44" s="140"/>
      <c r="T44" s="140"/>
      <c r="U44" s="140"/>
      <c r="V44" s="140"/>
      <c r="W44" s="140"/>
      <c r="X44" s="140"/>
      <c r="Y44" s="140"/>
      <c r="Z44" s="140"/>
    </row>
    <row r="45" ht="72.75" customHeight="1">
      <c r="A45" s="27"/>
      <c r="B45" s="147">
        <v>43.0</v>
      </c>
      <c r="C45" s="165" t="s">
        <v>558</v>
      </c>
      <c r="D45" s="165" t="s">
        <v>559</v>
      </c>
      <c r="E45" s="165" t="s">
        <v>560</v>
      </c>
      <c r="F45" s="91" t="s">
        <v>13</v>
      </c>
      <c r="G45" s="24" t="str">
        <f t="array" ref="G45">IF(F45="", "", IFERROR(INDEX('Echelle de maturité'!$B$2:$B$7, MATCH(F45, 'Echelle de maturité'!$C$2:$C$7, 0)), ""))</f>
        <v>Des objectifs de réduction des risques cyber intégrés à la stratégie de l'organisation. Des moyens humains, budgétaires conséquents, un plan d'action cyber exhaustif, adapté aux menaces stratégiques.</v>
      </c>
      <c r="H45" s="24" t="str">
        <f>IF($F45="1 - Insuffisant",
"Définir des indicateurs de performance permettant de mesurer l'efficacité du dispositif de cybersécurité de l'organisation.",
IF($F45="2 - Émergent",
"Formaliser le suivi et l'analyse des indicateurs de cybersécurité en définissant les méthodes de collecte, de reporting et de revue.",
IF($F45="3 - Intermédiaire",
"Utiliser les résultats des indicateurs pour orienter les plans d'amélioration et renforcer progressivement la maturité du dispositif de cybersécurité.",
IF($F45="4 - Confirmé",
"Maintenir un pilotage structuré de la cybersécurité basé sur des indicateurs pertinents et améliorer en continu la maturité du dispositif à partir des résultats obtenus.",
IF($F45="5 - Optimal",
"Optimiser le pilotage de la cybersécurité par les indicateurs en intégrant une approche de gestion de la performance avancée et en adaptant en continu les objectifs et mesures aux évolutions des risques.",
IF($F45="Non applicable",
"Non applicable.",
""))))))</f>
        <v>Optimiser le pilotage de la cybersécurité par les indicateurs en intégrant une approche de gestion de la performance avancée et en adaptant en continu les objectifs et mesures aux évolutions des risques.</v>
      </c>
      <c r="I45" s="140"/>
      <c r="J45" s="141" t="s">
        <v>557</v>
      </c>
      <c r="K45" s="140"/>
      <c r="L45" s="140"/>
      <c r="M45" s="140"/>
      <c r="N45" s="140"/>
      <c r="O45" s="140"/>
      <c r="P45" s="140"/>
      <c r="Q45" s="140"/>
      <c r="R45" s="140"/>
      <c r="S45" s="140"/>
      <c r="T45" s="140"/>
      <c r="U45" s="140"/>
      <c r="V45" s="140"/>
      <c r="W45" s="140"/>
      <c r="X45" s="140"/>
      <c r="Y45" s="140"/>
      <c r="Z45" s="140"/>
    </row>
    <row r="46" ht="96.0" customHeight="1">
      <c r="A46" s="166" t="s">
        <v>561</v>
      </c>
      <c r="B46" s="167"/>
      <c r="C46" s="167"/>
      <c r="D46" s="167"/>
      <c r="E46" s="167"/>
      <c r="F46" s="168" t="str">
        <f>(COUNTIF(F3:F45,"1 - Insuffisant")*1 
+COUNTIF(F3:F45,"2 - Émergent")*2
+COUNTIF(F3:F45,"3 - Intermédiaire")*3
+COUNTIF(F3:F45,"4 - Confirmé")*4
+COUNTIF(F3:F45,"5 - Optimal")*5)
&amp; "/"
&amp; (ROWS(F3:F45)*5)</f>
        <v>177/215</v>
      </c>
      <c r="G46" s="168" t="str">
        <f>ROUND((LEFT(F46,SEARCH("/",F46)-1)/RIGHT(F46,LEN(F46)-SEARCH("/",F46)))*5,2)&amp;" / 5"</f>
        <v>4,12 / 5</v>
      </c>
      <c r="H46" s="167"/>
      <c r="I46" s="140"/>
      <c r="J46" s="140"/>
      <c r="K46" s="140"/>
      <c r="L46" s="140"/>
      <c r="M46" s="140"/>
      <c r="N46" s="140"/>
      <c r="O46" s="140"/>
      <c r="P46" s="140"/>
      <c r="Q46" s="140"/>
      <c r="R46" s="140"/>
      <c r="S46" s="140"/>
      <c r="T46" s="140"/>
      <c r="U46" s="140"/>
      <c r="V46" s="140"/>
      <c r="W46" s="140"/>
      <c r="X46" s="140"/>
      <c r="Y46" s="140"/>
      <c r="Z46" s="140"/>
    </row>
    <row r="47">
      <c r="A47" s="169"/>
      <c r="B47" s="17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row>
    <row r="48">
      <c r="A48" s="169"/>
      <c r="B48" s="170"/>
      <c r="C48" s="140"/>
      <c r="D48" s="140"/>
      <c r="E48" s="140"/>
      <c r="F48" s="171"/>
      <c r="G48" s="140"/>
      <c r="H48" s="140"/>
      <c r="I48" s="140"/>
      <c r="J48" s="140"/>
      <c r="K48" s="140"/>
      <c r="L48" s="140"/>
      <c r="M48" s="140"/>
      <c r="N48" s="140"/>
      <c r="O48" s="140"/>
      <c r="P48" s="140"/>
      <c r="Q48" s="140"/>
      <c r="R48" s="140"/>
      <c r="S48" s="140"/>
      <c r="T48" s="140"/>
      <c r="U48" s="140"/>
      <c r="V48" s="140"/>
      <c r="W48" s="140"/>
      <c r="X48" s="140"/>
      <c r="Y48" s="140"/>
      <c r="Z48" s="140"/>
    </row>
    <row r="49">
      <c r="A49" s="169"/>
      <c r="B49" s="17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row>
    <row r="50">
      <c r="A50" s="169"/>
      <c r="B50" s="17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row>
    <row r="51">
      <c r="A51" s="169"/>
      <c r="B51" s="17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row>
    <row r="52">
      <c r="A52" s="169"/>
      <c r="B52" s="17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row>
    <row r="53">
      <c r="A53" s="169"/>
      <c r="B53" s="17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row>
    <row r="54">
      <c r="A54" s="169"/>
      <c r="B54" s="17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row>
    <row r="55">
      <c r="A55" s="169"/>
      <c r="B55" s="17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row>
    <row r="56">
      <c r="A56" s="169"/>
      <c r="B56" s="17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row>
    <row r="57">
      <c r="A57" s="169"/>
      <c r="B57" s="17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row>
    <row r="58">
      <c r="A58" s="169"/>
      <c r="B58" s="17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row>
    <row r="59">
      <c r="A59" s="169"/>
      <c r="B59" s="17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row>
    <row r="60">
      <c r="A60" s="169"/>
      <c r="B60" s="17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row>
    <row r="61">
      <c r="A61" s="169"/>
      <c r="B61" s="17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row>
    <row r="62">
      <c r="A62" s="169"/>
      <c r="B62" s="17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row>
    <row r="63">
      <c r="A63" s="169"/>
      <c r="B63" s="17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row>
    <row r="64">
      <c r="A64" s="169"/>
      <c r="B64" s="17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row>
    <row r="65">
      <c r="A65" s="169"/>
      <c r="B65" s="17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row>
    <row r="66">
      <c r="A66" s="169"/>
      <c r="B66" s="17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row>
    <row r="67">
      <c r="A67" s="169"/>
      <c r="B67" s="17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row>
    <row r="68">
      <c r="A68" s="169"/>
      <c r="B68" s="17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row>
    <row r="69">
      <c r="A69" s="169"/>
      <c r="B69" s="17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row>
    <row r="70">
      <c r="A70" s="169"/>
      <c r="B70" s="17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row>
    <row r="71">
      <c r="A71" s="169"/>
      <c r="B71" s="17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row>
    <row r="72">
      <c r="A72" s="169"/>
      <c r="B72" s="17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row>
    <row r="73">
      <c r="A73" s="169"/>
      <c r="B73" s="17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row>
    <row r="74">
      <c r="A74" s="169"/>
      <c r="B74" s="17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row>
    <row r="75">
      <c r="A75" s="169"/>
      <c r="B75" s="17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row>
    <row r="76">
      <c r="A76" s="169"/>
      <c r="B76" s="17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row>
    <row r="77">
      <c r="A77" s="169"/>
      <c r="B77" s="17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row>
    <row r="78">
      <c r="A78" s="169"/>
      <c r="B78" s="17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row>
    <row r="79">
      <c r="A79" s="169"/>
      <c r="B79" s="17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row>
    <row r="80">
      <c r="A80" s="169"/>
      <c r="B80" s="17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row>
    <row r="81">
      <c r="A81" s="169"/>
      <c r="B81" s="17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row>
    <row r="82">
      <c r="A82" s="169"/>
      <c r="B82" s="17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row>
    <row r="83">
      <c r="A83" s="169"/>
      <c r="B83" s="17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row>
    <row r="84">
      <c r="A84" s="169"/>
      <c r="B84" s="17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row>
    <row r="85">
      <c r="A85" s="169"/>
      <c r="B85" s="17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row>
    <row r="86">
      <c r="A86" s="169"/>
      <c r="B86" s="17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row>
    <row r="87">
      <c r="A87" s="169"/>
      <c r="B87" s="17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row>
    <row r="88">
      <c r="A88" s="169"/>
      <c r="B88" s="17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row>
    <row r="89">
      <c r="A89" s="169"/>
      <c r="B89" s="17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row>
    <row r="90">
      <c r="A90" s="169"/>
      <c r="B90" s="17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row>
    <row r="91">
      <c r="A91" s="169"/>
      <c r="B91" s="17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row>
    <row r="92">
      <c r="A92" s="169"/>
      <c r="B92" s="17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row>
    <row r="93">
      <c r="A93" s="169"/>
      <c r="B93" s="17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row>
    <row r="94">
      <c r="A94" s="169"/>
      <c r="B94" s="17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row>
    <row r="95">
      <c r="A95" s="169"/>
      <c r="B95" s="17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row>
    <row r="96">
      <c r="A96" s="169"/>
      <c r="B96" s="17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row>
    <row r="97">
      <c r="A97" s="169"/>
      <c r="B97" s="17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row>
    <row r="98">
      <c r="A98" s="169"/>
      <c r="B98" s="17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row>
    <row r="99">
      <c r="A99" s="169"/>
      <c r="B99" s="17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row>
    <row r="100">
      <c r="A100" s="169"/>
      <c r="B100" s="17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row>
    <row r="101">
      <c r="A101" s="169"/>
      <c r="B101" s="170"/>
      <c r="C101" s="140"/>
      <c r="D101" s="140"/>
      <c r="E101" s="140"/>
      <c r="F101" s="140"/>
      <c r="G101" s="140"/>
      <c r="H101" s="140"/>
      <c r="I101" s="140"/>
      <c r="J101" s="140"/>
      <c r="K101" s="140"/>
      <c r="L101" s="140"/>
      <c r="M101" s="140"/>
      <c r="N101" s="140"/>
      <c r="O101" s="140"/>
      <c r="P101" s="140"/>
      <c r="Q101" s="140"/>
      <c r="R101" s="140"/>
      <c r="S101" s="140"/>
      <c r="T101" s="140"/>
      <c r="U101" s="140"/>
      <c r="V101" s="140"/>
      <c r="W101" s="140"/>
      <c r="X101" s="140"/>
      <c r="Y101" s="140"/>
      <c r="Z101" s="140"/>
    </row>
    <row r="102">
      <c r="A102" s="169"/>
      <c r="B102" s="170"/>
      <c r="C102" s="140"/>
      <c r="D102" s="140"/>
      <c r="E102" s="140"/>
      <c r="F102" s="140"/>
      <c r="G102" s="140"/>
      <c r="H102" s="140"/>
      <c r="I102" s="140"/>
      <c r="J102" s="140"/>
      <c r="K102" s="140"/>
      <c r="L102" s="140"/>
      <c r="M102" s="140"/>
      <c r="N102" s="140"/>
      <c r="O102" s="140"/>
      <c r="P102" s="140"/>
      <c r="Q102" s="140"/>
      <c r="R102" s="140"/>
      <c r="S102" s="140"/>
      <c r="T102" s="140"/>
      <c r="U102" s="140"/>
      <c r="V102" s="140"/>
      <c r="W102" s="140"/>
      <c r="X102" s="140"/>
      <c r="Y102" s="140"/>
      <c r="Z102" s="140"/>
    </row>
    <row r="103">
      <c r="A103" s="169"/>
      <c r="B103" s="170"/>
      <c r="C103" s="140"/>
      <c r="D103" s="140"/>
      <c r="E103" s="140"/>
      <c r="F103" s="140"/>
      <c r="G103" s="140"/>
      <c r="H103" s="140"/>
      <c r="I103" s="140"/>
      <c r="J103" s="140"/>
      <c r="K103" s="140"/>
      <c r="L103" s="140"/>
      <c r="M103" s="140"/>
      <c r="N103" s="140"/>
      <c r="O103" s="140"/>
      <c r="P103" s="140"/>
      <c r="Q103" s="140"/>
      <c r="R103" s="140"/>
      <c r="S103" s="140"/>
      <c r="T103" s="140"/>
      <c r="U103" s="140"/>
      <c r="V103" s="140"/>
      <c r="W103" s="140"/>
      <c r="X103" s="140"/>
      <c r="Y103" s="140"/>
      <c r="Z103" s="140"/>
    </row>
    <row r="104">
      <c r="A104" s="169"/>
      <c r="B104" s="170"/>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row>
    <row r="105">
      <c r="A105" s="169"/>
      <c r="B105" s="170"/>
      <c r="C105" s="140"/>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row>
    <row r="106">
      <c r="A106" s="169"/>
      <c r="B106" s="170"/>
      <c r="C106" s="140"/>
      <c r="D106" s="140"/>
      <c r="E106" s="140"/>
      <c r="F106" s="140"/>
      <c r="G106" s="140"/>
      <c r="H106" s="140"/>
      <c r="I106" s="140"/>
      <c r="J106" s="140"/>
      <c r="K106" s="140"/>
      <c r="L106" s="140"/>
      <c r="M106" s="140"/>
      <c r="N106" s="140"/>
      <c r="O106" s="140"/>
      <c r="P106" s="140"/>
      <c r="Q106" s="140"/>
      <c r="R106" s="140"/>
      <c r="S106" s="140"/>
      <c r="T106" s="140"/>
      <c r="U106" s="140"/>
      <c r="V106" s="140"/>
      <c r="W106" s="140"/>
      <c r="X106" s="140"/>
      <c r="Y106" s="140"/>
      <c r="Z106" s="140"/>
    </row>
    <row r="107">
      <c r="A107" s="169"/>
      <c r="B107" s="170"/>
      <c r="C107" s="140"/>
      <c r="D107" s="140"/>
      <c r="E107" s="140"/>
      <c r="F107" s="140"/>
      <c r="G107" s="140"/>
      <c r="H107" s="140"/>
      <c r="I107" s="140"/>
      <c r="J107" s="140"/>
      <c r="K107" s="140"/>
      <c r="L107" s="140"/>
      <c r="M107" s="140"/>
      <c r="N107" s="140"/>
      <c r="O107" s="140"/>
      <c r="P107" s="140"/>
      <c r="Q107" s="140"/>
      <c r="R107" s="140"/>
      <c r="S107" s="140"/>
      <c r="T107" s="140"/>
      <c r="U107" s="140"/>
      <c r="V107" s="140"/>
      <c r="W107" s="140"/>
      <c r="X107" s="140"/>
      <c r="Y107" s="140"/>
      <c r="Z107" s="140"/>
    </row>
    <row r="108">
      <c r="A108" s="169"/>
      <c r="B108" s="170"/>
      <c r="C108" s="140"/>
      <c r="D108" s="140"/>
      <c r="E108" s="140"/>
      <c r="F108" s="140"/>
      <c r="G108" s="140"/>
      <c r="H108" s="140"/>
      <c r="I108" s="140"/>
      <c r="J108" s="140"/>
      <c r="K108" s="140"/>
      <c r="L108" s="140"/>
      <c r="M108" s="140"/>
      <c r="N108" s="140"/>
      <c r="O108" s="140"/>
      <c r="P108" s="140"/>
      <c r="Q108" s="140"/>
      <c r="R108" s="140"/>
      <c r="S108" s="140"/>
      <c r="T108" s="140"/>
      <c r="U108" s="140"/>
      <c r="V108" s="140"/>
      <c r="W108" s="140"/>
      <c r="X108" s="140"/>
      <c r="Y108" s="140"/>
      <c r="Z108" s="140"/>
    </row>
    <row r="109">
      <c r="A109" s="169"/>
      <c r="B109" s="170"/>
      <c r="C109" s="140"/>
      <c r="D109" s="140"/>
      <c r="E109" s="140"/>
      <c r="F109" s="140"/>
      <c r="G109" s="140"/>
      <c r="H109" s="140"/>
      <c r="I109" s="140"/>
      <c r="J109" s="140"/>
      <c r="K109" s="140"/>
      <c r="L109" s="140"/>
      <c r="M109" s="140"/>
      <c r="N109" s="140"/>
      <c r="O109" s="140"/>
      <c r="P109" s="140"/>
      <c r="Q109" s="140"/>
      <c r="R109" s="140"/>
      <c r="S109" s="140"/>
      <c r="T109" s="140"/>
      <c r="U109" s="140"/>
      <c r="V109" s="140"/>
      <c r="W109" s="140"/>
      <c r="X109" s="140"/>
      <c r="Y109" s="140"/>
      <c r="Z109" s="140"/>
    </row>
    <row r="110">
      <c r="A110" s="169"/>
      <c r="B110" s="170"/>
      <c r="C110" s="140"/>
      <c r="D110" s="140"/>
      <c r="E110" s="140"/>
      <c r="F110" s="140"/>
      <c r="G110" s="140"/>
      <c r="H110" s="140"/>
      <c r="I110" s="140"/>
      <c r="J110" s="140"/>
      <c r="K110" s="140"/>
      <c r="L110" s="140"/>
      <c r="M110" s="140"/>
      <c r="N110" s="140"/>
      <c r="O110" s="140"/>
      <c r="P110" s="140"/>
      <c r="Q110" s="140"/>
      <c r="R110" s="140"/>
      <c r="S110" s="140"/>
      <c r="T110" s="140"/>
      <c r="U110" s="140"/>
      <c r="V110" s="140"/>
      <c r="W110" s="140"/>
      <c r="X110" s="140"/>
      <c r="Y110" s="140"/>
      <c r="Z110" s="140"/>
    </row>
    <row r="111">
      <c r="A111" s="169"/>
      <c r="B111" s="17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row>
    <row r="112">
      <c r="A112" s="169"/>
      <c r="B112" s="170"/>
      <c r="C112" s="140"/>
      <c r="D112" s="140"/>
      <c r="E112" s="140"/>
      <c r="F112" s="140"/>
      <c r="G112" s="140"/>
      <c r="H112" s="140"/>
      <c r="I112" s="140"/>
      <c r="J112" s="140"/>
      <c r="K112" s="140"/>
      <c r="L112" s="140"/>
      <c r="M112" s="140"/>
      <c r="N112" s="140"/>
      <c r="O112" s="140"/>
      <c r="P112" s="140"/>
      <c r="Q112" s="140"/>
      <c r="R112" s="140"/>
      <c r="S112" s="140"/>
      <c r="T112" s="140"/>
      <c r="U112" s="140"/>
      <c r="V112" s="140"/>
      <c r="W112" s="140"/>
      <c r="X112" s="140"/>
      <c r="Y112" s="140"/>
      <c r="Z112" s="140"/>
    </row>
    <row r="113">
      <c r="A113" s="169"/>
      <c r="B113" s="170"/>
      <c r="C113" s="140"/>
      <c r="D113" s="140"/>
      <c r="E113" s="140"/>
      <c r="F113" s="140"/>
      <c r="G113" s="140"/>
      <c r="H113" s="140"/>
      <c r="I113" s="140"/>
      <c r="J113" s="140"/>
      <c r="K113" s="140"/>
      <c r="L113" s="140"/>
      <c r="M113" s="140"/>
      <c r="N113" s="140"/>
      <c r="O113" s="140"/>
      <c r="P113" s="140"/>
      <c r="Q113" s="140"/>
      <c r="R113" s="140"/>
      <c r="S113" s="140"/>
      <c r="T113" s="140"/>
      <c r="U113" s="140"/>
      <c r="V113" s="140"/>
      <c r="W113" s="140"/>
      <c r="X113" s="140"/>
      <c r="Y113" s="140"/>
      <c r="Z113" s="140"/>
    </row>
    <row r="114">
      <c r="A114" s="169"/>
      <c r="B114" s="170"/>
      <c r="C114" s="140"/>
      <c r="D114" s="140"/>
      <c r="E114" s="140"/>
      <c r="F114" s="140"/>
      <c r="G114" s="140"/>
      <c r="H114" s="140"/>
      <c r="I114" s="140"/>
      <c r="J114" s="140"/>
      <c r="K114" s="140"/>
      <c r="L114" s="140"/>
      <c r="M114" s="140"/>
      <c r="N114" s="140"/>
      <c r="O114" s="140"/>
      <c r="P114" s="140"/>
      <c r="Q114" s="140"/>
      <c r="R114" s="140"/>
      <c r="S114" s="140"/>
      <c r="T114" s="140"/>
      <c r="U114" s="140"/>
      <c r="V114" s="140"/>
      <c r="W114" s="140"/>
      <c r="X114" s="140"/>
      <c r="Y114" s="140"/>
      <c r="Z114" s="140"/>
    </row>
    <row r="115">
      <c r="A115" s="169"/>
      <c r="B115" s="170"/>
      <c r="C115" s="140"/>
      <c r="D115" s="140"/>
      <c r="E115" s="140"/>
      <c r="F115" s="140"/>
      <c r="G115" s="140"/>
      <c r="H115" s="140"/>
      <c r="I115" s="140"/>
      <c r="J115" s="140"/>
      <c r="K115" s="140"/>
      <c r="L115" s="140"/>
      <c r="M115" s="140"/>
      <c r="N115" s="140"/>
      <c r="O115" s="140"/>
      <c r="P115" s="140"/>
      <c r="Q115" s="140"/>
      <c r="R115" s="140"/>
      <c r="S115" s="140"/>
      <c r="T115" s="140"/>
      <c r="U115" s="140"/>
      <c r="V115" s="140"/>
      <c r="W115" s="140"/>
      <c r="X115" s="140"/>
      <c r="Y115" s="140"/>
      <c r="Z115" s="140"/>
    </row>
    <row r="116">
      <c r="A116" s="169"/>
      <c r="B116" s="170"/>
      <c r="C116" s="140"/>
      <c r="D116" s="140"/>
      <c r="E116" s="140"/>
      <c r="F116" s="140"/>
      <c r="G116" s="140"/>
      <c r="H116" s="140"/>
      <c r="I116" s="140"/>
      <c r="J116" s="140"/>
      <c r="K116" s="140"/>
      <c r="L116" s="140"/>
      <c r="M116" s="140"/>
      <c r="N116" s="140"/>
      <c r="O116" s="140"/>
      <c r="P116" s="140"/>
      <c r="Q116" s="140"/>
      <c r="R116" s="140"/>
      <c r="S116" s="140"/>
      <c r="T116" s="140"/>
      <c r="U116" s="140"/>
      <c r="V116" s="140"/>
      <c r="W116" s="140"/>
      <c r="X116" s="140"/>
      <c r="Y116" s="140"/>
      <c r="Z116" s="140"/>
    </row>
    <row r="117">
      <c r="A117" s="169"/>
      <c r="B117" s="170"/>
      <c r="C117" s="140"/>
      <c r="D117" s="140"/>
      <c r="E117" s="140"/>
      <c r="F117" s="140"/>
      <c r="G117" s="140"/>
      <c r="H117" s="140"/>
      <c r="I117" s="140"/>
      <c r="J117" s="140"/>
      <c r="K117" s="140"/>
      <c r="L117" s="140"/>
      <c r="M117" s="140"/>
      <c r="N117" s="140"/>
      <c r="O117" s="140"/>
      <c r="P117" s="140"/>
      <c r="Q117" s="140"/>
      <c r="R117" s="140"/>
      <c r="S117" s="140"/>
      <c r="T117" s="140"/>
      <c r="U117" s="140"/>
      <c r="V117" s="140"/>
      <c r="W117" s="140"/>
      <c r="X117" s="140"/>
      <c r="Y117" s="140"/>
      <c r="Z117" s="140"/>
    </row>
    <row r="118">
      <c r="A118" s="169"/>
      <c r="B118" s="170"/>
      <c r="C118" s="140"/>
      <c r="D118" s="140"/>
      <c r="E118" s="140"/>
      <c r="F118" s="140"/>
      <c r="G118" s="140"/>
      <c r="H118" s="140"/>
      <c r="I118" s="140"/>
      <c r="J118" s="140"/>
      <c r="K118" s="140"/>
      <c r="L118" s="140"/>
      <c r="M118" s="140"/>
      <c r="N118" s="140"/>
      <c r="O118" s="140"/>
      <c r="P118" s="140"/>
      <c r="Q118" s="140"/>
      <c r="R118" s="140"/>
      <c r="S118" s="140"/>
      <c r="T118" s="140"/>
      <c r="U118" s="140"/>
      <c r="V118" s="140"/>
      <c r="W118" s="140"/>
      <c r="X118" s="140"/>
      <c r="Y118" s="140"/>
      <c r="Z118" s="140"/>
    </row>
    <row r="119">
      <c r="A119" s="169"/>
      <c r="B119" s="170"/>
      <c r="C119" s="140"/>
      <c r="D119" s="140"/>
      <c r="E119" s="140"/>
      <c r="F119" s="140"/>
      <c r="G119" s="140"/>
      <c r="H119" s="140"/>
      <c r="I119" s="140"/>
      <c r="J119" s="140"/>
      <c r="K119" s="140"/>
      <c r="L119" s="140"/>
      <c r="M119" s="140"/>
      <c r="N119" s="140"/>
      <c r="O119" s="140"/>
      <c r="P119" s="140"/>
      <c r="Q119" s="140"/>
      <c r="R119" s="140"/>
      <c r="S119" s="140"/>
      <c r="T119" s="140"/>
      <c r="U119" s="140"/>
      <c r="V119" s="140"/>
      <c r="W119" s="140"/>
      <c r="X119" s="140"/>
      <c r="Y119" s="140"/>
      <c r="Z119" s="140"/>
    </row>
    <row r="120">
      <c r="A120" s="169"/>
      <c r="B120" s="170"/>
      <c r="C120" s="140"/>
      <c r="D120" s="140"/>
      <c r="E120" s="140"/>
      <c r="F120" s="140"/>
      <c r="G120" s="140"/>
      <c r="H120" s="140"/>
      <c r="I120" s="140"/>
      <c r="J120" s="140"/>
      <c r="K120" s="140"/>
      <c r="L120" s="140"/>
      <c r="M120" s="140"/>
      <c r="N120" s="140"/>
      <c r="O120" s="140"/>
      <c r="P120" s="140"/>
      <c r="Q120" s="140"/>
      <c r="R120" s="140"/>
      <c r="S120" s="140"/>
      <c r="T120" s="140"/>
      <c r="U120" s="140"/>
      <c r="V120" s="140"/>
      <c r="W120" s="140"/>
      <c r="X120" s="140"/>
      <c r="Y120" s="140"/>
      <c r="Z120" s="140"/>
    </row>
    <row r="121">
      <c r="A121" s="169"/>
      <c r="B121" s="170"/>
      <c r="C121" s="140"/>
      <c r="D121" s="140"/>
      <c r="E121" s="140"/>
      <c r="F121" s="140"/>
      <c r="G121" s="140"/>
      <c r="H121" s="140"/>
      <c r="I121" s="140"/>
      <c r="J121" s="140"/>
      <c r="K121" s="140"/>
      <c r="L121" s="140"/>
      <c r="M121" s="140"/>
      <c r="N121" s="140"/>
      <c r="O121" s="140"/>
      <c r="P121" s="140"/>
      <c r="Q121" s="140"/>
      <c r="R121" s="140"/>
      <c r="S121" s="140"/>
      <c r="T121" s="140"/>
      <c r="U121" s="140"/>
      <c r="V121" s="140"/>
      <c r="W121" s="140"/>
      <c r="X121" s="140"/>
      <c r="Y121" s="140"/>
      <c r="Z121" s="140"/>
    </row>
    <row r="122">
      <c r="A122" s="169"/>
      <c r="B122" s="170"/>
      <c r="C122" s="140"/>
      <c r="D122" s="140"/>
      <c r="E122" s="140"/>
      <c r="F122" s="140"/>
      <c r="G122" s="140"/>
      <c r="H122" s="140"/>
      <c r="I122" s="140"/>
      <c r="J122" s="140"/>
      <c r="K122" s="140"/>
      <c r="L122" s="140"/>
      <c r="M122" s="140"/>
      <c r="N122" s="140"/>
      <c r="O122" s="140"/>
      <c r="P122" s="140"/>
      <c r="Q122" s="140"/>
      <c r="R122" s="140"/>
      <c r="S122" s="140"/>
      <c r="T122" s="140"/>
      <c r="U122" s="140"/>
      <c r="V122" s="140"/>
      <c r="W122" s="140"/>
      <c r="X122" s="140"/>
      <c r="Y122" s="140"/>
      <c r="Z122" s="140"/>
    </row>
    <row r="123">
      <c r="A123" s="169"/>
      <c r="B123" s="170"/>
      <c r="C123" s="140"/>
      <c r="D123" s="140"/>
      <c r="E123" s="140"/>
      <c r="F123" s="140"/>
      <c r="G123" s="140"/>
      <c r="H123" s="140"/>
      <c r="I123" s="140"/>
      <c r="J123" s="140"/>
      <c r="K123" s="140"/>
      <c r="L123" s="140"/>
      <c r="M123" s="140"/>
      <c r="N123" s="140"/>
      <c r="O123" s="140"/>
      <c r="P123" s="140"/>
      <c r="Q123" s="140"/>
      <c r="R123" s="140"/>
      <c r="S123" s="140"/>
      <c r="T123" s="140"/>
      <c r="U123" s="140"/>
      <c r="V123" s="140"/>
      <c r="W123" s="140"/>
      <c r="X123" s="140"/>
      <c r="Y123" s="140"/>
      <c r="Z123" s="140"/>
    </row>
    <row r="124">
      <c r="A124" s="169"/>
      <c r="B124" s="170"/>
      <c r="C124" s="140"/>
      <c r="D124" s="140"/>
      <c r="E124" s="140"/>
      <c r="F124" s="140"/>
      <c r="G124" s="140"/>
      <c r="H124" s="140"/>
      <c r="I124" s="140"/>
      <c r="J124" s="140"/>
      <c r="K124" s="140"/>
      <c r="L124" s="140"/>
      <c r="M124" s="140"/>
      <c r="N124" s="140"/>
      <c r="O124" s="140"/>
      <c r="P124" s="140"/>
      <c r="Q124" s="140"/>
      <c r="R124" s="140"/>
      <c r="S124" s="140"/>
      <c r="T124" s="140"/>
      <c r="U124" s="140"/>
      <c r="V124" s="140"/>
      <c r="W124" s="140"/>
      <c r="X124" s="140"/>
      <c r="Y124" s="140"/>
      <c r="Z124" s="140"/>
    </row>
    <row r="125">
      <c r="A125" s="169"/>
      <c r="B125" s="170"/>
      <c r="C125" s="140"/>
      <c r="D125" s="140"/>
      <c r="E125" s="140"/>
      <c r="F125" s="140"/>
      <c r="G125" s="140"/>
      <c r="H125" s="140"/>
      <c r="I125" s="140"/>
      <c r="J125" s="140"/>
      <c r="K125" s="140"/>
      <c r="L125" s="140"/>
      <c r="M125" s="140"/>
      <c r="N125" s="140"/>
      <c r="O125" s="140"/>
      <c r="P125" s="140"/>
      <c r="Q125" s="140"/>
      <c r="R125" s="140"/>
      <c r="S125" s="140"/>
      <c r="T125" s="140"/>
      <c r="U125" s="140"/>
      <c r="V125" s="140"/>
      <c r="W125" s="140"/>
      <c r="X125" s="140"/>
      <c r="Y125" s="140"/>
      <c r="Z125" s="140"/>
    </row>
    <row r="126">
      <c r="A126" s="169"/>
      <c r="B126" s="170"/>
      <c r="C126" s="140"/>
      <c r="D126" s="140"/>
      <c r="E126" s="140"/>
      <c r="F126" s="140"/>
      <c r="G126" s="140"/>
      <c r="H126" s="140"/>
      <c r="I126" s="140"/>
      <c r="J126" s="140"/>
      <c r="K126" s="140"/>
      <c r="L126" s="140"/>
      <c r="M126" s="140"/>
      <c r="N126" s="140"/>
      <c r="O126" s="140"/>
      <c r="P126" s="140"/>
      <c r="Q126" s="140"/>
      <c r="R126" s="140"/>
      <c r="S126" s="140"/>
      <c r="T126" s="140"/>
      <c r="U126" s="140"/>
      <c r="V126" s="140"/>
      <c r="W126" s="140"/>
      <c r="X126" s="140"/>
      <c r="Y126" s="140"/>
      <c r="Z126" s="140"/>
    </row>
    <row r="127">
      <c r="A127" s="169"/>
      <c r="B127" s="170"/>
      <c r="C127" s="140"/>
      <c r="D127" s="140"/>
      <c r="E127" s="140"/>
      <c r="F127" s="140"/>
      <c r="G127" s="140"/>
      <c r="H127" s="140"/>
      <c r="I127" s="140"/>
      <c r="J127" s="140"/>
      <c r="K127" s="140"/>
      <c r="L127" s="140"/>
      <c r="M127" s="140"/>
      <c r="N127" s="140"/>
      <c r="O127" s="140"/>
      <c r="P127" s="140"/>
      <c r="Q127" s="140"/>
      <c r="R127" s="140"/>
      <c r="S127" s="140"/>
      <c r="T127" s="140"/>
      <c r="U127" s="140"/>
      <c r="V127" s="140"/>
      <c r="W127" s="140"/>
      <c r="X127" s="140"/>
      <c r="Y127" s="140"/>
      <c r="Z127" s="140"/>
    </row>
    <row r="128">
      <c r="A128" s="169"/>
      <c r="B128" s="170"/>
      <c r="C128" s="140"/>
      <c r="D128" s="140"/>
      <c r="E128" s="140"/>
      <c r="F128" s="140"/>
      <c r="G128" s="140"/>
      <c r="H128" s="140"/>
      <c r="I128" s="140"/>
      <c r="J128" s="140"/>
      <c r="K128" s="140"/>
      <c r="L128" s="140"/>
      <c r="M128" s="140"/>
      <c r="N128" s="140"/>
      <c r="O128" s="140"/>
      <c r="P128" s="140"/>
      <c r="Q128" s="140"/>
      <c r="R128" s="140"/>
      <c r="S128" s="140"/>
      <c r="T128" s="140"/>
      <c r="U128" s="140"/>
      <c r="V128" s="140"/>
      <c r="W128" s="140"/>
      <c r="X128" s="140"/>
      <c r="Y128" s="140"/>
      <c r="Z128" s="140"/>
    </row>
    <row r="129">
      <c r="A129" s="169"/>
      <c r="B129" s="170"/>
      <c r="C129" s="140"/>
      <c r="D129" s="140"/>
      <c r="E129" s="140"/>
      <c r="F129" s="140"/>
      <c r="G129" s="140"/>
      <c r="H129" s="140"/>
      <c r="I129" s="140"/>
      <c r="J129" s="140"/>
      <c r="K129" s="140"/>
      <c r="L129" s="140"/>
      <c r="M129" s="140"/>
      <c r="N129" s="140"/>
      <c r="O129" s="140"/>
      <c r="P129" s="140"/>
      <c r="Q129" s="140"/>
      <c r="R129" s="140"/>
      <c r="S129" s="140"/>
      <c r="T129" s="140"/>
      <c r="U129" s="140"/>
      <c r="V129" s="140"/>
      <c r="W129" s="140"/>
      <c r="X129" s="140"/>
      <c r="Y129" s="140"/>
      <c r="Z129" s="140"/>
    </row>
    <row r="130">
      <c r="A130" s="169"/>
      <c r="B130" s="170"/>
      <c r="C130" s="140"/>
      <c r="D130" s="140"/>
      <c r="E130" s="140"/>
      <c r="F130" s="140"/>
      <c r="G130" s="140"/>
      <c r="H130" s="140"/>
      <c r="I130" s="140"/>
      <c r="J130" s="140"/>
      <c r="K130" s="140"/>
      <c r="L130" s="140"/>
      <c r="M130" s="140"/>
      <c r="N130" s="140"/>
      <c r="O130" s="140"/>
      <c r="P130" s="140"/>
      <c r="Q130" s="140"/>
      <c r="R130" s="140"/>
      <c r="S130" s="140"/>
      <c r="T130" s="140"/>
      <c r="U130" s="140"/>
      <c r="V130" s="140"/>
      <c r="W130" s="140"/>
      <c r="X130" s="140"/>
      <c r="Y130" s="140"/>
      <c r="Z130" s="140"/>
    </row>
    <row r="131">
      <c r="A131" s="169"/>
      <c r="B131" s="170"/>
      <c r="C131" s="140"/>
      <c r="D131" s="140"/>
      <c r="E131" s="140"/>
      <c r="F131" s="140"/>
      <c r="G131" s="140"/>
      <c r="H131" s="140"/>
      <c r="I131" s="140"/>
      <c r="J131" s="140"/>
      <c r="K131" s="140"/>
      <c r="L131" s="140"/>
      <c r="M131" s="140"/>
      <c r="N131" s="140"/>
      <c r="O131" s="140"/>
      <c r="P131" s="140"/>
      <c r="Q131" s="140"/>
      <c r="R131" s="140"/>
      <c r="S131" s="140"/>
      <c r="T131" s="140"/>
      <c r="U131" s="140"/>
      <c r="V131" s="140"/>
      <c r="W131" s="140"/>
      <c r="X131" s="140"/>
      <c r="Y131" s="140"/>
      <c r="Z131" s="140"/>
    </row>
    <row r="132">
      <c r="A132" s="169"/>
      <c r="B132" s="170"/>
      <c r="C132" s="140"/>
      <c r="D132" s="140"/>
      <c r="E132" s="140"/>
      <c r="F132" s="140"/>
      <c r="G132" s="140"/>
      <c r="H132" s="140"/>
      <c r="I132" s="140"/>
      <c r="J132" s="140"/>
      <c r="K132" s="140"/>
      <c r="L132" s="140"/>
      <c r="M132" s="140"/>
      <c r="N132" s="140"/>
      <c r="O132" s="140"/>
      <c r="P132" s="140"/>
      <c r="Q132" s="140"/>
      <c r="R132" s="140"/>
      <c r="S132" s="140"/>
      <c r="T132" s="140"/>
      <c r="U132" s="140"/>
      <c r="V132" s="140"/>
      <c r="W132" s="140"/>
      <c r="X132" s="140"/>
      <c r="Y132" s="140"/>
      <c r="Z132" s="140"/>
    </row>
    <row r="133">
      <c r="A133" s="169"/>
      <c r="B133" s="170"/>
      <c r="C133" s="140"/>
      <c r="D133" s="140"/>
      <c r="E133" s="140"/>
      <c r="F133" s="140"/>
      <c r="G133" s="140"/>
      <c r="H133" s="140"/>
      <c r="I133" s="140"/>
      <c r="J133" s="140"/>
      <c r="K133" s="140"/>
      <c r="L133" s="140"/>
      <c r="M133" s="140"/>
      <c r="N133" s="140"/>
      <c r="O133" s="140"/>
      <c r="P133" s="140"/>
      <c r="Q133" s="140"/>
      <c r="R133" s="140"/>
      <c r="S133" s="140"/>
      <c r="T133" s="140"/>
      <c r="U133" s="140"/>
      <c r="V133" s="140"/>
      <c r="W133" s="140"/>
      <c r="X133" s="140"/>
      <c r="Y133" s="140"/>
      <c r="Z133" s="140"/>
    </row>
    <row r="134">
      <c r="A134" s="169"/>
      <c r="B134" s="170"/>
      <c r="C134" s="140"/>
      <c r="D134" s="140"/>
      <c r="E134" s="140"/>
      <c r="F134" s="140"/>
      <c r="G134" s="140"/>
      <c r="H134" s="140"/>
      <c r="I134" s="140"/>
      <c r="J134" s="140"/>
      <c r="K134" s="140"/>
      <c r="L134" s="140"/>
      <c r="M134" s="140"/>
      <c r="N134" s="140"/>
      <c r="O134" s="140"/>
      <c r="P134" s="140"/>
      <c r="Q134" s="140"/>
      <c r="R134" s="140"/>
      <c r="S134" s="140"/>
      <c r="T134" s="140"/>
      <c r="U134" s="140"/>
      <c r="V134" s="140"/>
      <c r="W134" s="140"/>
      <c r="X134" s="140"/>
      <c r="Y134" s="140"/>
      <c r="Z134" s="140"/>
    </row>
    <row r="135">
      <c r="A135" s="169"/>
      <c r="B135" s="170"/>
      <c r="C135" s="140"/>
      <c r="D135" s="140"/>
      <c r="E135" s="140"/>
      <c r="F135" s="140"/>
      <c r="G135" s="140"/>
      <c r="H135" s="140"/>
      <c r="I135" s="140"/>
      <c r="J135" s="140"/>
      <c r="K135" s="140"/>
      <c r="L135" s="140"/>
      <c r="M135" s="140"/>
      <c r="N135" s="140"/>
      <c r="O135" s="140"/>
      <c r="P135" s="140"/>
      <c r="Q135" s="140"/>
      <c r="R135" s="140"/>
      <c r="S135" s="140"/>
      <c r="T135" s="140"/>
      <c r="U135" s="140"/>
      <c r="V135" s="140"/>
      <c r="W135" s="140"/>
      <c r="X135" s="140"/>
      <c r="Y135" s="140"/>
      <c r="Z135" s="140"/>
    </row>
    <row r="136">
      <c r="A136" s="169"/>
      <c r="B136" s="170"/>
      <c r="C136" s="140"/>
      <c r="D136" s="140"/>
      <c r="E136" s="140"/>
      <c r="F136" s="140"/>
      <c r="G136" s="140"/>
      <c r="H136" s="140"/>
      <c r="I136" s="140"/>
      <c r="J136" s="140"/>
      <c r="K136" s="140"/>
      <c r="L136" s="140"/>
      <c r="M136" s="140"/>
      <c r="N136" s="140"/>
      <c r="O136" s="140"/>
      <c r="P136" s="140"/>
      <c r="Q136" s="140"/>
      <c r="R136" s="140"/>
      <c r="S136" s="140"/>
      <c r="T136" s="140"/>
      <c r="U136" s="140"/>
      <c r="V136" s="140"/>
      <c r="W136" s="140"/>
      <c r="X136" s="140"/>
      <c r="Y136" s="140"/>
      <c r="Z136" s="140"/>
    </row>
    <row r="137">
      <c r="A137" s="169"/>
      <c r="B137" s="170"/>
      <c r="C137" s="140"/>
      <c r="D137" s="140"/>
      <c r="E137" s="140"/>
      <c r="F137" s="140"/>
      <c r="G137" s="140"/>
      <c r="H137" s="140"/>
      <c r="I137" s="140"/>
      <c r="J137" s="140"/>
      <c r="K137" s="140"/>
      <c r="L137" s="140"/>
      <c r="M137" s="140"/>
      <c r="N137" s="140"/>
      <c r="O137" s="140"/>
      <c r="P137" s="140"/>
      <c r="Q137" s="140"/>
      <c r="R137" s="140"/>
      <c r="S137" s="140"/>
      <c r="T137" s="140"/>
      <c r="U137" s="140"/>
      <c r="V137" s="140"/>
      <c r="W137" s="140"/>
      <c r="X137" s="140"/>
      <c r="Y137" s="140"/>
      <c r="Z137" s="140"/>
    </row>
    <row r="138">
      <c r="A138" s="169"/>
      <c r="B138" s="170"/>
      <c r="C138" s="140"/>
      <c r="D138" s="140"/>
      <c r="E138" s="140"/>
      <c r="F138" s="140"/>
      <c r="G138" s="140"/>
      <c r="H138" s="140"/>
      <c r="I138" s="140"/>
      <c r="J138" s="140"/>
      <c r="K138" s="140"/>
      <c r="L138" s="140"/>
      <c r="M138" s="140"/>
      <c r="N138" s="140"/>
      <c r="O138" s="140"/>
      <c r="P138" s="140"/>
      <c r="Q138" s="140"/>
      <c r="R138" s="140"/>
      <c r="S138" s="140"/>
      <c r="T138" s="140"/>
      <c r="U138" s="140"/>
      <c r="V138" s="140"/>
      <c r="W138" s="140"/>
      <c r="X138" s="140"/>
      <c r="Y138" s="140"/>
      <c r="Z138" s="140"/>
    </row>
    <row r="139">
      <c r="A139" s="169"/>
      <c r="B139" s="170"/>
      <c r="C139" s="140"/>
      <c r="D139" s="140"/>
      <c r="E139" s="140"/>
      <c r="F139" s="140"/>
      <c r="G139" s="140"/>
      <c r="H139" s="140"/>
      <c r="I139" s="140"/>
      <c r="J139" s="140"/>
      <c r="K139" s="140"/>
      <c r="L139" s="140"/>
      <c r="M139" s="140"/>
      <c r="N139" s="140"/>
      <c r="O139" s="140"/>
      <c r="P139" s="140"/>
      <c r="Q139" s="140"/>
      <c r="R139" s="140"/>
      <c r="S139" s="140"/>
      <c r="T139" s="140"/>
      <c r="U139" s="140"/>
      <c r="V139" s="140"/>
      <c r="W139" s="140"/>
      <c r="X139" s="140"/>
      <c r="Y139" s="140"/>
      <c r="Z139" s="140"/>
    </row>
    <row r="140">
      <c r="A140" s="169"/>
      <c r="B140" s="170"/>
      <c r="C140" s="140"/>
      <c r="D140" s="140"/>
      <c r="E140" s="140"/>
      <c r="F140" s="140"/>
      <c r="G140" s="140"/>
      <c r="H140" s="140"/>
      <c r="I140" s="140"/>
      <c r="J140" s="140"/>
      <c r="K140" s="140"/>
      <c r="L140" s="140"/>
      <c r="M140" s="140"/>
      <c r="N140" s="140"/>
      <c r="O140" s="140"/>
      <c r="P140" s="140"/>
      <c r="Q140" s="140"/>
      <c r="R140" s="140"/>
      <c r="S140" s="140"/>
      <c r="T140" s="140"/>
      <c r="U140" s="140"/>
      <c r="V140" s="140"/>
      <c r="W140" s="140"/>
      <c r="X140" s="140"/>
      <c r="Y140" s="140"/>
      <c r="Z140" s="140"/>
    </row>
    <row r="141">
      <c r="A141" s="169"/>
      <c r="B141" s="170"/>
      <c r="C141" s="140"/>
      <c r="D141" s="140"/>
      <c r="E141" s="140"/>
      <c r="F141" s="140"/>
      <c r="G141" s="140"/>
      <c r="H141" s="140"/>
      <c r="I141" s="140"/>
      <c r="J141" s="140"/>
      <c r="K141" s="140"/>
      <c r="L141" s="140"/>
      <c r="M141" s="140"/>
      <c r="N141" s="140"/>
      <c r="O141" s="140"/>
      <c r="P141" s="140"/>
      <c r="Q141" s="140"/>
      <c r="R141" s="140"/>
      <c r="S141" s="140"/>
      <c r="T141" s="140"/>
      <c r="U141" s="140"/>
      <c r="V141" s="140"/>
      <c r="W141" s="140"/>
      <c r="X141" s="140"/>
      <c r="Y141" s="140"/>
      <c r="Z141" s="140"/>
    </row>
    <row r="142">
      <c r="A142" s="169"/>
      <c r="B142" s="170"/>
      <c r="C142" s="140"/>
      <c r="D142" s="140"/>
      <c r="E142" s="140"/>
      <c r="F142" s="140"/>
      <c r="G142" s="140"/>
      <c r="H142" s="140"/>
      <c r="I142" s="140"/>
      <c r="J142" s="140"/>
      <c r="K142" s="140"/>
      <c r="L142" s="140"/>
      <c r="M142" s="140"/>
      <c r="N142" s="140"/>
      <c r="O142" s="140"/>
      <c r="P142" s="140"/>
      <c r="Q142" s="140"/>
      <c r="R142" s="140"/>
      <c r="S142" s="140"/>
      <c r="T142" s="140"/>
      <c r="U142" s="140"/>
      <c r="V142" s="140"/>
      <c r="W142" s="140"/>
      <c r="X142" s="140"/>
      <c r="Y142" s="140"/>
      <c r="Z142" s="140"/>
    </row>
    <row r="143">
      <c r="A143" s="169"/>
      <c r="B143" s="170"/>
      <c r="C143" s="140"/>
      <c r="D143" s="140"/>
      <c r="E143" s="140"/>
      <c r="F143" s="140"/>
      <c r="G143" s="140"/>
      <c r="H143" s="140"/>
      <c r="I143" s="140"/>
      <c r="J143" s="140"/>
      <c r="K143" s="140"/>
      <c r="L143" s="140"/>
      <c r="M143" s="140"/>
      <c r="N143" s="140"/>
      <c r="O143" s="140"/>
      <c r="P143" s="140"/>
      <c r="Q143" s="140"/>
      <c r="R143" s="140"/>
      <c r="S143" s="140"/>
      <c r="T143" s="140"/>
      <c r="U143" s="140"/>
      <c r="V143" s="140"/>
      <c r="W143" s="140"/>
      <c r="X143" s="140"/>
      <c r="Y143" s="140"/>
      <c r="Z143" s="140"/>
    </row>
    <row r="144">
      <c r="A144" s="169"/>
      <c r="B144" s="170"/>
      <c r="C144" s="140"/>
      <c r="D144" s="140"/>
      <c r="E144" s="140"/>
      <c r="F144" s="140"/>
      <c r="G144" s="140"/>
      <c r="H144" s="140"/>
      <c r="I144" s="140"/>
      <c r="J144" s="140"/>
      <c r="K144" s="140"/>
      <c r="L144" s="140"/>
      <c r="M144" s="140"/>
      <c r="N144" s="140"/>
      <c r="O144" s="140"/>
      <c r="P144" s="140"/>
      <c r="Q144" s="140"/>
      <c r="R144" s="140"/>
      <c r="S144" s="140"/>
      <c r="T144" s="140"/>
      <c r="U144" s="140"/>
      <c r="V144" s="140"/>
      <c r="W144" s="140"/>
      <c r="X144" s="140"/>
      <c r="Y144" s="140"/>
      <c r="Z144" s="140"/>
    </row>
    <row r="145">
      <c r="A145" s="169"/>
      <c r="B145" s="170"/>
      <c r="C145" s="140"/>
      <c r="D145" s="140"/>
      <c r="E145" s="140"/>
      <c r="F145" s="140"/>
      <c r="G145" s="140"/>
      <c r="H145" s="140"/>
      <c r="I145" s="140"/>
      <c r="J145" s="140"/>
      <c r="K145" s="140"/>
      <c r="L145" s="140"/>
      <c r="M145" s="140"/>
      <c r="N145" s="140"/>
      <c r="O145" s="140"/>
      <c r="P145" s="140"/>
      <c r="Q145" s="140"/>
      <c r="R145" s="140"/>
      <c r="S145" s="140"/>
      <c r="T145" s="140"/>
      <c r="U145" s="140"/>
      <c r="V145" s="140"/>
      <c r="W145" s="140"/>
      <c r="X145" s="140"/>
      <c r="Y145" s="140"/>
      <c r="Z145" s="140"/>
    </row>
    <row r="146">
      <c r="A146" s="169"/>
      <c r="B146" s="170"/>
      <c r="C146" s="140"/>
      <c r="D146" s="140"/>
      <c r="E146" s="140"/>
      <c r="F146" s="140"/>
      <c r="G146" s="140"/>
      <c r="H146" s="140"/>
      <c r="I146" s="140"/>
      <c r="J146" s="140"/>
      <c r="K146" s="140"/>
      <c r="L146" s="140"/>
      <c r="M146" s="140"/>
      <c r="N146" s="140"/>
      <c r="O146" s="140"/>
      <c r="P146" s="140"/>
      <c r="Q146" s="140"/>
      <c r="R146" s="140"/>
      <c r="S146" s="140"/>
      <c r="T146" s="140"/>
      <c r="U146" s="140"/>
      <c r="V146" s="140"/>
      <c r="W146" s="140"/>
      <c r="X146" s="140"/>
      <c r="Y146" s="140"/>
      <c r="Z146" s="140"/>
    </row>
    <row r="147">
      <c r="A147" s="169"/>
      <c r="B147" s="170"/>
      <c r="C147" s="140"/>
      <c r="D147" s="140"/>
      <c r="E147" s="140"/>
      <c r="F147" s="140"/>
      <c r="G147" s="140"/>
      <c r="H147" s="140"/>
      <c r="I147" s="140"/>
      <c r="J147" s="140"/>
      <c r="K147" s="140"/>
      <c r="L147" s="140"/>
      <c r="M147" s="140"/>
      <c r="N147" s="140"/>
      <c r="O147" s="140"/>
      <c r="P147" s="140"/>
      <c r="Q147" s="140"/>
      <c r="R147" s="140"/>
      <c r="S147" s="140"/>
      <c r="T147" s="140"/>
      <c r="U147" s="140"/>
      <c r="V147" s="140"/>
      <c r="W147" s="140"/>
      <c r="X147" s="140"/>
      <c r="Y147" s="140"/>
      <c r="Z147" s="140"/>
    </row>
    <row r="148">
      <c r="A148" s="169"/>
      <c r="B148" s="170"/>
      <c r="C148" s="140"/>
      <c r="D148" s="140"/>
      <c r="E148" s="140"/>
      <c r="F148" s="140"/>
      <c r="G148" s="140"/>
      <c r="H148" s="140"/>
      <c r="I148" s="140"/>
      <c r="J148" s="140"/>
      <c r="K148" s="140"/>
      <c r="L148" s="140"/>
      <c r="M148" s="140"/>
      <c r="N148" s="140"/>
      <c r="O148" s="140"/>
      <c r="P148" s="140"/>
      <c r="Q148" s="140"/>
      <c r="R148" s="140"/>
      <c r="S148" s="140"/>
      <c r="T148" s="140"/>
      <c r="U148" s="140"/>
      <c r="V148" s="140"/>
      <c r="W148" s="140"/>
      <c r="X148" s="140"/>
      <c r="Y148" s="140"/>
      <c r="Z148" s="140"/>
    </row>
    <row r="149">
      <c r="A149" s="169"/>
      <c r="B149" s="170"/>
      <c r="C149" s="140"/>
      <c r="D149" s="140"/>
      <c r="E149" s="140"/>
      <c r="F149" s="140"/>
      <c r="G149" s="140"/>
      <c r="H149" s="140"/>
      <c r="I149" s="140"/>
      <c r="J149" s="140"/>
      <c r="K149" s="140"/>
      <c r="L149" s="140"/>
      <c r="M149" s="140"/>
      <c r="N149" s="140"/>
      <c r="O149" s="140"/>
      <c r="P149" s="140"/>
      <c r="Q149" s="140"/>
      <c r="R149" s="140"/>
      <c r="S149" s="140"/>
      <c r="T149" s="140"/>
      <c r="U149" s="140"/>
      <c r="V149" s="140"/>
      <c r="W149" s="140"/>
      <c r="X149" s="140"/>
      <c r="Y149" s="140"/>
      <c r="Z149" s="140"/>
    </row>
    <row r="150">
      <c r="A150" s="169"/>
      <c r="B150" s="170"/>
      <c r="C150" s="140"/>
      <c r="D150" s="140"/>
      <c r="E150" s="140"/>
      <c r="F150" s="140"/>
      <c r="G150" s="140"/>
      <c r="H150" s="140"/>
      <c r="I150" s="140"/>
      <c r="J150" s="140"/>
      <c r="K150" s="140"/>
      <c r="L150" s="140"/>
      <c r="M150" s="140"/>
      <c r="N150" s="140"/>
      <c r="O150" s="140"/>
      <c r="P150" s="140"/>
      <c r="Q150" s="140"/>
      <c r="R150" s="140"/>
      <c r="S150" s="140"/>
      <c r="T150" s="140"/>
      <c r="U150" s="140"/>
      <c r="V150" s="140"/>
      <c r="W150" s="140"/>
      <c r="X150" s="140"/>
      <c r="Y150" s="140"/>
      <c r="Z150" s="140"/>
    </row>
    <row r="151">
      <c r="A151" s="169"/>
      <c r="B151" s="170"/>
      <c r="C151" s="140"/>
      <c r="D151" s="140"/>
      <c r="E151" s="140"/>
      <c r="F151" s="140"/>
      <c r="G151" s="140"/>
      <c r="H151" s="140"/>
      <c r="I151" s="140"/>
      <c r="J151" s="140"/>
      <c r="K151" s="140"/>
      <c r="L151" s="140"/>
      <c r="M151" s="140"/>
      <c r="N151" s="140"/>
      <c r="O151" s="140"/>
      <c r="P151" s="140"/>
      <c r="Q151" s="140"/>
      <c r="R151" s="140"/>
      <c r="S151" s="140"/>
      <c r="T151" s="140"/>
      <c r="U151" s="140"/>
      <c r="V151" s="140"/>
      <c r="W151" s="140"/>
      <c r="X151" s="140"/>
      <c r="Y151" s="140"/>
      <c r="Z151" s="140"/>
    </row>
    <row r="152">
      <c r="A152" s="169"/>
      <c r="B152" s="170"/>
      <c r="C152" s="140"/>
      <c r="D152" s="140"/>
      <c r="E152" s="140"/>
      <c r="F152" s="140"/>
      <c r="G152" s="140"/>
      <c r="H152" s="140"/>
      <c r="I152" s="140"/>
      <c r="J152" s="140"/>
      <c r="K152" s="140"/>
      <c r="L152" s="140"/>
      <c r="M152" s="140"/>
      <c r="N152" s="140"/>
      <c r="O152" s="140"/>
      <c r="P152" s="140"/>
      <c r="Q152" s="140"/>
      <c r="R152" s="140"/>
      <c r="S152" s="140"/>
      <c r="T152" s="140"/>
      <c r="U152" s="140"/>
      <c r="V152" s="140"/>
      <c r="W152" s="140"/>
      <c r="X152" s="140"/>
      <c r="Y152" s="140"/>
      <c r="Z152" s="140"/>
    </row>
    <row r="153">
      <c r="A153" s="169"/>
      <c r="B153" s="170"/>
      <c r="C153" s="140"/>
      <c r="D153" s="140"/>
      <c r="E153" s="140"/>
      <c r="F153" s="140"/>
      <c r="G153" s="140"/>
      <c r="H153" s="140"/>
      <c r="I153" s="140"/>
      <c r="J153" s="140"/>
      <c r="K153" s="140"/>
      <c r="L153" s="140"/>
      <c r="M153" s="140"/>
      <c r="N153" s="140"/>
      <c r="O153" s="140"/>
      <c r="P153" s="140"/>
      <c r="Q153" s="140"/>
      <c r="R153" s="140"/>
      <c r="S153" s="140"/>
      <c r="T153" s="140"/>
      <c r="U153" s="140"/>
      <c r="V153" s="140"/>
      <c r="W153" s="140"/>
      <c r="X153" s="140"/>
      <c r="Y153" s="140"/>
      <c r="Z153" s="140"/>
    </row>
    <row r="154">
      <c r="A154" s="169"/>
      <c r="B154" s="170"/>
      <c r="C154" s="140"/>
      <c r="D154" s="140"/>
      <c r="E154" s="140"/>
      <c r="F154" s="140"/>
      <c r="G154" s="140"/>
      <c r="H154" s="140"/>
      <c r="I154" s="140"/>
      <c r="J154" s="140"/>
      <c r="K154" s="140"/>
      <c r="L154" s="140"/>
      <c r="M154" s="140"/>
      <c r="N154" s="140"/>
      <c r="O154" s="140"/>
      <c r="P154" s="140"/>
      <c r="Q154" s="140"/>
      <c r="R154" s="140"/>
      <c r="S154" s="140"/>
      <c r="T154" s="140"/>
      <c r="U154" s="140"/>
      <c r="V154" s="140"/>
      <c r="W154" s="140"/>
      <c r="X154" s="140"/>
      <c r="Y154" s="140"/>
      <c r="Z154" s="140"/>
    </row>
    <row r="155">
      <c r="A155" s="169"/>
      <c r="B155" s="170"/>
      <c r="C155" s="140"/>
      <c r="D155" s="140"/>
      <c r="E155" s="140"/>
      <c r="F155" s="140"/>
      <c r="G155" s="140"/>
      <c r="H155" s="140"/>
      <c r="I155" s="140"/>
      <c r="J155" s="140"/>
      <c r="K155" s="140"/>
      <c r="L155" s="140"/>
      <c r="M155" s="140"/>
      <c r="N155" s="140"/>
      <c r="O155" s="140"/>
      <c r="P155" s="140"/>
      <c r="Q155" s="140"/>
      <c r="R155" s="140"/>
      <c r="S155" s="140"/>
      <c r="T155" s="140"/>
      <c r="U155" s="140"/>
      <c r="V155" s="140"/>
      <c r="W155" s="140"/>
      <c r="X155" s="140"/>
      <c r="Y155" s="140"/>
      <c r="Z155" s="140"/>
    </row>
    <row r="156">
      <c r="A156" s="169"/>
      <c r="B156" s="170"/>
      <c r="C156" s="140"/>
      <c r="D156" s="140"/>
      <c r="E156" s="140"/>
      <c r="F156" s="140"/>
      <c r="G156" s="140"/>
      <c r="H156" s="140"/>
      <c r="I156" s="140"/>
      <c r="J156" s="140"/>
      <c r="K156" s="140"/>
      <c r="L156" s="140"/>
      <c r="M156" s="140"/>
      <c r="N156" s="140"/>
      <c r="O156" s="140"/>
      <c r="P156" s="140"/>
      <c r="Q156" s="140"/>
      <c r="R156" s="140"/>
      <c r="S156" s="140"/>
      <c r="T156" s="140"/>
      <c r="U156" s="140"/>
      <c r="V156" s="140"/>
      <c r="W156" s="140"/>
      <c r="X156" s="140"/>
      <c r="Y156" s="140"/>
      <c r="Z156" s="140"/>
    </row>
    <row r="157">
      <c r="A157" s="169"/>
      <c r="B157" s="170"/>
      <c r="C157" s="140"/>
      <c r="D157" s="140"/>
      <c r="E157" s="140"/>
      <c r="F157" s="140"/>
      <c r="G157" s="140"/>
      <c r="H157" s="140"/>
      <c r="I157" s="140"/>
      <c r="J157" s="140"/>
      <c r="K157" s="140"/>
      <c r="L157" s="140"/>
      <c r="M157" s="140"/>
      <c r="N157" s="140"/>
      <c r="O157" s="140"/>
      <c r="P157" s="140"/>
      <c r="Q157" s="140"/>
      <c r="R157" s="140"/>
      <c r="S157" s="140"/>
      <c r="T157" s="140"/>
      <c r="U157" s="140"/>
      <c r="V157" s="140"/>
      <c r="W157" s="140"/>
      <c r="X157" s="140"/>
      <c r="Y157" s="140"/>
      <c r="Z157" s="140"/>
    </row>
    <row r="158">
      <c r="A158" s="169"/>
      <c r="B158" s="170"/>
      <c r="C158" s="140"/>
      <c r="D158" s="140"/>
      <c r="E158" s="140"/>
      <c r="F158" s="140"/>
      <c r="G158" s="140"/>
      <c r="H158" s="140"/>
      <c r="I158" s="140"/>
      <c r="J158" s="140"/>
      <c r="K158" s="140"/>
      <c r="L158" s="140"/>
      <c r="M158" s="140"/>
      <c r="N158" s="140"/>
      <c r="O158" s="140"/>
      <c r="P158" s="140"/>
      <c r="Q158" s="140"/>
      <c r="R158" s="140"/>
      <c r="S158" s="140"/>
      <c r="T158" s="140"/>
      <c r="U158" s="140"/>
      <c r="V158" s="140"/>
      <c r="W158" s="140"/>
      <c r="X158" s="140"/>
      <c r="Y158" s="140"/>
      <c r="Z158" s="140"/>
    </row>
    <row r="159">
      <c r="A159" s="169"/>
      <c r="B159" s="170"/>
      <c r="C159" s="140"/>
      <c r="D159" s="140"/>
      <c r="E159" s="140"/>
      <c r="F159" s="140"/>
      <c r="G159" s="140"/>
      <c r="H159" s="140"/>
      <c r="I159" s="140"/>
      <c r="J159" s="140"/>
      <c r="K159" s="140"/>
      <c r="L159" s="140"/>
      <c r="M159" s="140"/>
      <c r="N159" s="140"/>
      <c r="O159" s="140"/>
      <c r="P159" s="140"/>
      <c r="Q159" s="140"/>
      <c r="R159" s="140"/>
      <c r="S159" s="140"/>
      <c r="T159" s="140"/>
      <c r="U159" s="140"/>
      <c r="V159" s="140"/>
      <c r="W159" s="140"/>
      <c r="X159" s="140"/>
      <c r="Y159" s="140"/>
      <c r="Z159" s="140"/>
    </row>
    <row r="160">
      <c r="A160" s="169"/>
      <c r="B160" s="170"/>
      <c r="C160" s="140"/>
      <c r="D160" s="140"/>
      <c r="E160" s="140"/>
      <c r="F160" s="140"/>
      <c r="G160" s="140"/>
      <c r="H160" s="140"/>
      <c r="I160" s="140"/>
      <c r="J160" s="140"/>
      <c r="K160" s="140"/>
      <c r="L160" s="140"/>
      <c r="M160" s="140"/>
      <c r="N160" s="140"/>
      <c r="O160" s="140"/>
      <c r="P160" s="140"/>
      <c r="Q160" s="140"/>
      <c r="R160" s="140"/>
      <c r="S160" s="140"/>
      <c r="T160" s="140"/>
      <c r="U160" s="140"/>
      <c r="V160" s="140"/>
      <c r="W160" s="140"/>
      <c r="X160" s="140"/>
      <c r="Y160" s="140"/>
      <c r="Z160" s="140"/>
    </row>
    <row r="161">
      <c r="A161" s="169"/>
      <c r="B161" s="170"/>
      <c r="C161" s="140"/>
      <c r="D161" s="140"/>
      <c r="E161" s="140"/>
      <c r="F161" s="140"/>
      <c r="G161" s="140"/>
      <c r="H161" s="140"/>
      <c r="I161" s="140"/>
      <c r="J161" s="140"/>
      <c r="K161" s="140"/>
      <c r="L161" s="140"/>
      <c r="M161" s="140"/>
      <c r="N161" s="140"/>
      <c r="O161" s="140"/>
      <c r="P161" s="140"/>
      <c r="Q161" s="140"/>
      <c r="R161" s="140"/>
      <c r="S161" s="140"/>
      <c r="T161" s="140"/>
      <c r="U161" s="140"/>
      <c r="V161" s="140"/>
      <c r="W161" s="140"/>
      <c r="X161" s="140"/>
      <c r="Y161" s="140"/>
      <c r="Z161" s="140"/>
    </row>
    <row r="162">
      <c r="A162" s="169"/>
      <c r="B162" s="170"/>
      <c r="C162" s="140"/>
      <c r="D162" s="140"/>
      <c r="E162" s="140"/>
      <c r="F162" s="140"/>
      <c r="G162" s="140"/>
      <c r="H162" s="140"/>
      <c r="I162" s="140"/>
      <c r="J162" s="140"/>
      <c r="K162" s="140"/>
      <c r="L162" s="140"/>
      <c r="M162" s="140"/>
      <c r="N162" s="140"/>
      <c r="O162" s="140"/>
      <c r="P162" s="140"/>
      <c r="Q162" s="140"/>
      <c r="R162" s="140"/>
      <c r="S162" s="140"/>
      <c r="T162" s="140"/>
      <c r="U162" s="140"/>
      <c r="V162" s="140"/>
      <c r="W162" s="140"/>
      <c r="X162" s="140"/>
      <c r="Y162" s="140"/>
      <c r="Z162" s="140"/>
    </row>
    <row r="163">
      <c r="A163" s="169"/>
      <c r="B163" s="170"/>
      <c r="C163" s="140"/>
      <c r="D163" s="140"/>
      <c r="E163" s="140"/>
      <c r="F163" s="140"/>
      <c r="G163" s="140"/>
      <c r="H163" s="140"/>
      <c r="I163" s="140"/>
      <c r="J163" s="140"/>
      <c r="K163" s="140"/>
      <c r="L163" s="140"/>
      <c r="M163" s="140"/>
      <c r="N163" s="140"/>
      <c r="O163" s="140"/>
      <c r="P163" s="140"/>
      <c r="Q163" s="140"/>
      <c r="R163" s="140"/>
      <c r="S163" s="140"/>
      <c r="T163" s="140"/>
      <c r="U163" s="140"/>
      <c r="V163" s="140"/>
      <c r="W163" s="140"/>
      <c r="X163" s="140"/>
      <c r="Y163" s="140"/>
      <c r="Z163" s="140"/>
    </row>
    <row r="164">
      <c r="A164" s="169"/>
      <c r="B164" s="170"/>
      <c r="C164" s="140"/>
      <c r="D164" s="140"/>
      <c r="E164" s="140"/>
      <c r="F164" s="140"/>
      <c r="G164" s="140"/>
      <c r="H164" s="140"/>
      <c r="I164" s="140"/>
      <c r="J164" s="140"/>
      <c r="K164" s="140"/>
      <c r="L164" s="140"/>
      <c r="M164" s="140"/>
      <c r="N164" s="140"/>
      <c r="O164" s="140"/>
      <c r="P164" s="140"/>
      <c r="Q164" s="140"/>
      <c r="R164" s="140"/>
      <c r="S164" s="140"/>
      <c r="T164" s="140"/>
      <c r="U164" s="140"/>
      <c r="V164" s="140"/>
      <c r="W164" s="140"/>
      <c r="X164" s="140"/>
      <c r="Y164" s="140"/>
      <c r="Z164" s="140"/>
    </row>
    <row r="165">
      <c r="A165" s="169"/>
      <c r="B165" s="170"/>
      <c r="C165" s="140"/>
      <c r="D165" s="140"/>
      <c r="E165" s="140"/>
      <c r="F165" s="140"/>
      <c r="G165" s="140"/>
      <c r="H165" s="140"/>
      <c r="I165" s="140"/>
      <c r="J165" s="140"/>
      <c r="K165" s="140"/>
      <c r="L165" s="140"/>
      <c r="M165" s="140"/>
      <c r="N165" s="140"/>
      <c r="O165" s="140"/>
      <c r="P165" s="140"/>
      <c r="Q165" s="140"/>
      <c r="R165" s="140"/>
      <c r="S165" s="140"/>
      <c r="T165" s="140"/>
      <c r="U165" s="140"/>
      <c r="V165" s="140"/>
      <c r="W165" s="140"/>
      <c r="X165" s="140"/>
      <c r="Y165" s="140"/>
      <c r="Z165" s="140"/>
    </row>
    <row r="166">
      <c r="A166" s="169"/>
      <c r="B166" s="170"/>
      <c r="C166" s="140"/>
      <c r="D166" s="140"/>
      <c r="E166" s="140"/>
      <c r="F166" s="140"/>
      <c r="G166" s="140"/>
      <c r="H166" s="140"/>
      <c r="I166" s="140"/>
      <c r="J166" s="140"/>
      <c r="K166" s="140"/>
      <c r="L166" s="140"/>
      <c r="M166" s="140"/>
      <c r="N166" s="140"/>
      <c r="O166" s="140"/>
      <c r="P166" s="140"/>
      <c r="Q166" s="140"/>
      <c r="R166" s="140"/>
      <c r="S166" s="140"/>
      <c r="T166" s="140"/>
      <c r="U166" s="140"/>
      <c r="V166" s="140"/>
      <c r="W166" s="140"/>
      <c r="X166" s="140"/>
      <c r="Y166" s="140"/>
      <c r="Z166" s="140"/>
    </row>
    <row r="167">
      <c r="A167" s="169"/>
      <c r="B167" s="170"/>
      <c r="C167" s="140"/>
      <c r="D167" s="140"/>
      <c r="E167" s="140"/>
      <c r="F167" s="140"/>
      <c r="G167" s="140"/>
      <c r="H167" s="140"/>
      <c r="I167" s="140"/>
      <c r="J167" s="140"/>
      <c r="K167" s="140"/>
      <c r="L167" s="140"/>
      <c r="M167" s="140"/>
      <c r="N167" s="140"/>
      <c r="O167" s="140"/>
      <c r="P167" s="140"/>
      <c r="Q167" s="140"/>
      <c r="R167" s="140"/>
      <c r="S167" s="140"/>
      <c r="T167" s="140"/>
      <c r="U167" s="140"/>
      <c r="V167" s="140"/>
      <c r="W167" s="140"/>
      <c r="X167" s="140"/>
      <c r="Y167" s="140"/>
      <c r="Z167" s="140"/>
    </row>
    <row r="168">
      <c r="A168" s="169"/>
      <c r="B168" s="170"/>
      <c r="C168" s="140"/>
      <c r="D168" s="140"/>
      <c r="E168" s="140"/>
      <c r="F168" s="140"/>
      <c r="G168" s="140"/>
      <c r="H168" s="140"/>
      <c r="I168" s="140"/>
      <c r="J168" s="140"/>
      <c r="K168" s="140"/>
      <c r="L168" s="140"/>
      <c r="M168" s="140"/>
      <c r="N168" s="140"/>
      <c r="O168" s="140"/>
      <c r="P168" s="140"/>
      <c r="Q168" s="140"/>
      <c r="R168" s="140"/>
      <c r="S168" s="140"/>
      <c r="T168" s="140"/>
      <c r="U168" s="140"/>
      <c r="V168" s="140"/>
      <c r="W168" s="140"/>
      <c r="X168" s="140"/>
      <c r="Y168" s="140"/>
      <c r="Z168" s="140"/>
    </row>
    <row r="169">
      <c r="A169" s="169"/>
      <c r="B169" s="170"/>
      <c r="C169" s="140"/>
      <c r="D169" s="140"/>
      <c r="E169" s="140"/>
      <c r="F169" s="140"/>
      <c r="G169" s="140"/>
      <c r="H169" s="140"/>
      <c r="I169" s="140"/>
      <c r="J169" s="140"/>
      <c r="K169" s="140"/>
      <c r="L169" s="140"/>
      <c r="M169" s="140"/>
      <c r="N169" s="140"/>
      <c r="O169" s="140"/>
      <c r="P169" s="140"/>
      <c r="Q169" s="140"/>
      <c r="R169" s="140"/>
      <c r="S169" s="140"/>
      <c r="T169" s="140"/>
      <c r="U169" s="140"/>
      <c r="V169" s="140"/>
      <c r="W169" s="140"/>
      <c r="X169" s="140"/>
      <c r="Y169" s="140"/>
      <c r="Z169" s="140"/>
    </row>
    <row r="170">
      <c r="A170" s="169"/>
      <c r="B170" s="170"/>
      <c r="C170" s="140"/>
      <c r="D170" s="140"/>
      <c r="E170" s="140"/>
      <c r="F170" s="140"/>
      <c r="G170" s="140"/>
      <c r="H170" s="140"/>
      <c r="I170" s="140"/>
      <c r="J170" s="140"/>
      <c r="K170" s="140"/>
      <c r="L170" s="140"/>
      <c r="M170" s="140"/>
      <c r="N170" s="140"/>
      <c r="O170" s="140"/>
      <c r="P170" s="140"/>
      <c r="Q170" s="140"/>
      <c r="R170" s="140"/>
      <c r="S170" s="140"/>
      <c r="T170" s="140"/>
      <c r="U170" s="140"/>
      <c r="V170" s="140"/>
      <c r="W170" s="140"/>
      <c r="X170" s="140"/>
      <c r="Y170" s="140"/>
      <c r="Z170" s="140"/>
    </row>
    <row r="171">
      <c r="A171" s="169"/>
      <c r="B171" s="170"/>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row>
    <row r="172">
      <c r="A172" s="169"/>
      <c r="B172" s="170"/>
      <c r="C172" s="140"/>
      <c r="D172" s="140"/>
      <c r="E172" s="140"/>
      <c r="F172" s="140"/>
      <c r="G172" s="140"/>
      <c r="H172" s="140"/>
      <c r="I172" s="140"/>
      <c r="J172" s="140"/>
      <c r="K172" s="140"/>
      <c r="L172" s="140"/>
      <c r="M172" s="140"/>
      <c r="N172" s="140"/>
      <c r="O172" s="140"/>
      <c r="P172" s="140"/>
      <c r="Q172" s="140"/>
      <c r="R172" s="140"/>
      <c r="S172" s="140"/>
      <c r="T172" s="140"/>
      <c r="U172" s="140"/>
      <c r="V172" s="140"/>
      <c r="W172" s="140"/>
      <c r="X172" s="140"/>
      <c r="Y172" s="140"/>
      <c r="Z172" s="140"/>
    </row>
    <row r="173">
      <c r="A173" s="169"/>
      <c r="B173" s="170"/>
      <c r="C173" s="140"/>
      <c r="D173" s="140"/>
      <c r="E173" s="140"/>
      <c r="F173" s="140"/>
      <c r="G173" s="140"/>
      <c r="H173" s="140"/>
      <c r="I173" s="140"/>
      <c r="J173" s="140"/>
      <c r="K173" s="140"/>
      <c r="L173" s="140"/>
      <c r="M173" s="140"/>
      <c r="N173" s="140"/>
      <c r="O173" s="140"/>
      <c r="P173" s="140"/>
      <c r="Q173" s="140"/>
      <c r="R173" s="140"/>
      <c r="S173" s="140"/>
      <c r="T173" s="140"/>
      <c r="U173" s="140"/>
      <c r="V173" s="140"/>
      <c r="W173" s="140"/>
      <c r="X173" s="140"/>
      <c r="Y173" s="140"/>
      <c r="Z173" s="140"/>
    </row>
    <row r="174">
      <c r="A174" s="169"/>
      <c r="B174" s="170"/>
      <c r="C174" s="140"/>
      <c r="D174" s="140"/>
      <c r="E174" s="140"/>
      <c r="F174" s="140"/>
      <c r="G174" s="140"/>
      <c r="H174" s="140"/>
      <c r="I174" s="140"/>
      <c r="J174" s="140"/>
      <c r="K174" s="140"/>
      <c r="L174" s="140"/>
      <c r="M174" s="140"/>
      <c r="N174" s="140"/>
      <c r="O174" s="140"/>
      <c r="P174" s="140"/>
      <c r="Q174" s="140"/>
      <c r="R174" s="140"/>
      <c r="S174" s="140"/>
      <c r="T174" s="140"/>
      <c r="U174" s="140"/>
      <c r="V174" s="140"/>
      <c r="W174" s="140"/>
      <c r="X174" s="140"/>
      <c r="Y174" s="140"/>
      <c r="Z174" s="140"/>
    </row>
    <row r="175">
      <c r="A175" s="169"/>
      <c r="B175" s="170"/>
      <c r="C175" s="140"/>
      <c r="D175" s="140"/>
      <c r="E175" s="140"/>
      <c r="F175" s="140"/>
      <c r="G175" s="140"/>
      <c r="H175" s="140"/>
      <c r="I175" s="140"/>
      <c r="J175" s="140"/>
      <c r="K175" s="140"/>
      <c r="L175" s="140"/>
      <c r="M175" s="140"/>
      <c r="N175" s="140"/>
      <c r="O175" s="140"/>
      <c r="P175" s="140"/>
      <c r="Q175" s="140"/>
      <c r="R175" s="140"/>
      <c r="S175" s="140"/>
      <c r="T175" s="140"/>
      <c r="U175" s="140"/>
      <c r="V175" s="140"/>
      <c r="W175" s="140"/>
      <c r="X175" s="140"/>
      <c r="Y175" s="140"/>
      <c r="Z175" s="140"/>
    </row>
    <row r="176">
      <c r="A176" s="169"/>
      <c r="B176" s="170"/>
      <c r="C176" s="140"/>
      <c r="D176" s="140"/>
      <c r="E176" s="140"/>
      <c r="F176" s="140"/>
      <c r="G176" s="140"/>
      <c r="H176" s="140"/>
      <c r="I176" s="140"/>
      <c r="J176" s="140"/>
      <c r="K176" s="140"/>
      <c r="L176" s="140"/>
      <c r="M176" s="140"/>
      <c r="N176" s="140"/>
      <c r="O176" s="140"/>
      <c r="P176" s="140"/>
      <c r="Q176" s="140"/>
      <c r="R176" s="140"/>
      <c r="S176" s="140"/>
      <c r="T176" s="140"/>
      <c r="U176" s="140"/>
      <c r="V176" s="140"/>
      <c r="W176" s="140"/>
      <c r="X176" s="140"/>
      <c r="Y176" s="140"/>
      <c r="Z176" s="140"/>
    </row>
    <row r="177">
      <c r="A177" s="169"/>
      <c r="B177" s="170"/>
      <c r="C177" s="140"/>
      <c r="D177" s="140"/>
      <c r="E177" s="140"/>
      <c r="F177" s="140"/>
      <c r="G177" s="140"/>
      <c r="H177" s="140"/>
      <c r="I177" s="140"/>
      <c r="J177" s="140"/>
      <c r="K177" s="140"/>
      <c r="L177" s="140"/>
      <c r="M177" s="140"/>
      <c r="N177" s="140"/>
      <c r="O177" s="140"/>
      <c r="P177" s="140"/>
      <c r="Q177" s="140"/>
      <c r="R177" s="140"/>
      <c r="S177" s="140"/>
      <c r="T177" s="140"/>
      <c r="U177" s="140"/>
      <c r="V177" s="140"/>
      <c r="W177" s="140"/>
      <c r="X177" s="140"/>
      <c r="Y177" s="140"/>
      <c r="Z177" s="140"/>
    </row>
    <row r="178">
      <c r="A178" s="169"/>
      <c r="B178" s="170"/>
      <c r="C178" s="140"/>
      <c r="D178" s="140"/>
      <c r="E178" s="140"/>
      <c r="F178" s="140"/>
      <c r="G178" s="140"/>
      <c r="H178" s="140"/>
      <c r="I178" s="140"/>
      <c r="J178" s="140"/>
      <c r="K178" s="140"/>
      <c r="L178" s="140"/>
      <c r="M178" s="140"/>
      <c r="N178" s="140"/>
      <c r="O178" s="140"/>
      <c r="P178" s="140"/>
      <c r="Q178" s="140"/>
      <c r="R178" s="140"/>
      <c r="S178" s="140"/>
      <c r="T178" s="140"/>
      <c r="U178" s="140"/>
      <c r="V178" s="140"/>
      <c r="W178" s="140"/>
      <c r="X178" s="140"/>
      <c r="Y178" s="140"/>
      <c r="Z178" s="140"/>
    </row>
    <row r="179">
      <c r="A179" s="169"/>
      <c r="B179" s="170"/>
      <c r="C179" s="140"/>
      <c r="D179" s="140"/>
      <c r="E179" s="140"/>
      <c r="F179" s="140"/>
      <c r="G179" s="140"/>
      <c r="H179" s="140"/>
      <c r="I179" s="140"/>
      <c r="J179" s="140"/>
      <c r="K179" s="140"/>
      <c r="L179" s="140"/>
      <c r="M179" s="140"/>
      <c r="N179" s="140"/>
      <c r="O179" s="140"/>
      <c r="P179" s="140"/>
      <c r="Q179" s="140"/>
      <c r="R179" s="140"/>
      <c r="S179" s="140"/>
      <c r="T179" s="140"/>
      <c r="U179" s="140"/>
      <c r="V179" s="140"/>
      <c r="W179" s="140"/>
      <c r="X179" s="140"/>
      <c r="Y179" s="140"/>
      <c r="Z179" s="140"/>
    </row>
    <row r="180">
      <c r="A180" s="169"/>
      <c r="B180" s="170"/>
      <c r="C180" s="140"/>
      <c r="D180" s="140"/>
      <c r="E180" s="140"/>
      <c r="F180" s="140"/>
      <c r="G180" s="140"/>
      <c r="H180" s="140"/>
      <c r="I180" s="140"/>
      <c r="J180" s="140"/>
      <c r="K180" s="140"/>
      <c r="L180" s="140"/>
      <c r="M180" s="140"/>
      <c r="N180" s="140"/>
      <c r="O180" s="140"/>
      <c r="P180" s="140"/>
      <c r="Q180" s="140"/>
      <c r="R180" s="140"/>
      <c r="S180" s="140"/>
      <c r="T180" s="140"/>
      <c r="U180" s="140"/>
      <c r="V180" s="140"/>
      <c r="W180" s="140"/>
      <c r="X180" s="140"/>
      <c r="Y180" s="140"/>
      <c r="Z180" s="140"/>
    </row>
    <row r="181">
      <c r="A181" s="169"/>
      <c r="B181" s="170"/>
      <c r="C181" s="140"/>
      <c r="D181" s="140"/>
      <c r="E181" s="140"/>
      <c r="F181" s="140"/>
      <c r="G181" s="140"/>
      <c r="H181" s="140"/>
      <c r="I181" s="140"/>
      <c r="J181" s="140"/>
      <c r="K181" s="140"/>
      <c r="L181" s="140"/>
      <c r="M181" s="140"/>
      <c r="N181" s="140"/>
      <c r="O181" s="140"/>
      <c r="P181" s="140"/>
      <c r="Q181" s="140"/>
      <c r="R181" s="140"/>
      <c r="S181" s="140"/>
      <c r="T181" s="140"/>
      <c r="U181" s="140"/>
      <c r="V181" s="140"/>
      <c r="W181" s="140"/>
      <c r="X181" s="140"/>
      <c r="Y181" s="140"/>
      <c r="Z181" s="140"/>
    </row>
    <row r="182">
      <c r="A182" s="169"/>
      <c r="B182" s="170"/>
      <c r="C182" s="140"/>
      <c r="D182" s="140"/>
      <c r="E182" s="140"/>
      <c r="F182" s="140"/>
      <c r="G182" s="140"/>
      <c r="H182" s="140"/>
      <c r="I182" s="140"/>
      <c r="J182" s="140"/>
      <c r="K182" s="140"/>
      <c r="L182" s="140"/>
      <c r="M182" s="140"/>
      <c r="N182" s="140"/>
      <c r="O182" s="140"/>
      <c r="P182" s="140"/>
      <c r="Q182" s="140"/>
      <c r="R182" s="140"/>
      <c r="S182" s="140"/>
      <c r="T182" s="140"/>
      <c r="U182" s="140"/>
      <c r="V182" s="140"/>
      <c r="W182" s="140"/>
      <c r="X182" s="140"/>
      <c r="Y182" s="140"/>
      <c r="Z182" s="140"/>
    </row>
    <row r="183">
      <c r="A183" s="169"/>
      <c r="B183" s="170"/>
      <c r="C183" s="140"/>
      <c r="D183" s="140"/>
      <c r="E183" s="140"/>
      <c r="F183" s="140"/>
      <c r="G183" s="140"/>
      <c r="H183" s="140"/>
      <c r="I183" s="140"/>
      <c r="J183" s="140"/>
      <c r="K183" s="140"/>
      <c r="L183" s="140"/>
      <c r="M183" s="140"/>
      <c r="N183" s="140"/>
      <c r="O183" s="140"/>
      <c r="P183" s="140"/>
      <c r="Q183" s="140"/>
      <c r="R183" s="140"/>
      <c r="S183" s="140"/>
      <c r="T183" s="140"/>
      <c r="U183" s="140"/>
      <c r="V183" s="140"/>
      <c r="W183" s="140"/>
      <c r="X183" s="140"/>
      <c r="Y183" s="140"/>
      <c r="Z183" s="140"/>
    </row>
    <row r="184">
      <c r="A184" s="169"/>
      <c r="B184" s="170"/>
      <c r="C184" s="140"/>
      <c r="D184" s="140"/>
      <c r="E184" s="140"/>
      <c r="F184" s="140"/>
      <c r="G184" s="140"/>
      <c r="H184" s="140"/>
      <c r="I184" s="140"/>
      <c r="J184" s="140"/>
      <c r="K184" s="140"/>
      <c r="L184" s="140"/>
      <c r="M184" s="140"/>
      <c r="N184" s="140"/>
      <c r="O184" s="140"/>
      <c r="P184" s="140"/>
      <c r="Q184" s="140"/>
      <c r="R184" s="140"/>
      <c r="S184" s="140"/>
      <c r="T184" s="140"/>
      <c r="U184" s="140"/>
      <c r="V184" s="140"/>
      <c r="W184" s="140"/>
      <c r="X184" s="140"/>
      <c r="Y184" s="140"/>
      <c r="Z184" s="140"/>
    </row>
    <row r="185">
      <c r="A185" s="169"/>
      <c r="B185" s="170"/>
      <c r="C185" s="140"/>
      <c r="D185" s="140"/>
      <c r="E185" s="140"/>
      <c r="F185" s="140"/>
      <c r="G185" s="140"/>
      <c r="H185" s="140"/>
      <c r="I185" s="140"/>
      <c r="J185" s="140"/>
      <c r="K185" s="140"/>
      <c r="L185" s="140"/>
      <c r="M185" s="140"/>
      <c r="N185" s="140"/>
      <c r="O185" s="140"/>
      <c r="P185" s="140"/>
      <c r="Q185" s="140"/>
      <c r="R185" s="140"/>
      <c r="S185" s="140"/>
      <c r="T185" s="140"/>
      <c r="U185" s="140"/>
      <c r="V185" s="140"/>
      <c r="W185" s="140"/>
      <c r="X185" s="140"/>
      <c r="Y185" s="140"/>
      <c r="Z185" s="140"/>
    </row>
    <row r="186">
      <c r="A186" s="169"/>
      <c r="B186" s="170"/>
      <c r="C186" s="140"/>
      <c r="D186" s="140"/>
      <c r="E186" s="140"/>
      <c r="F186" s="140"/>
      <c r="G186" s="140"/>
      <c r="H186" s="140"/>
      <c r="I186" s="140"/>
      <c r="J186" s="140"/>
      <c r="K186" s="140"/>
      <c r="L186" s="140"/>
      <c r="M186" s="140"/>
      <c r="N186" s="140"/>
      <c r="O186" s="140"/>
      <c r="P186" s="140"/>
      <c r="Q186" s="140"/>
      <c r="R186" s="140"/>
      <c r="S186" s="140"/>
      <c r="T186" s="140"/>
      <c r="U186" s="140"/>
      <c r="V186" s="140"/>
      <c r="W186" s="140"/>
      <c r="X186" s="140"/>
      <c r="Y186" s="140"/>
      <c r="Z186" s="140"/>
    </row>
    <row r="187">
      <c r="A187" s="169"/>
      <c r="B187" s="170"/>
      <c r="C187" s="140"/>
      <c r="D187" s="140"/>
      <c r="E187" s="140"/>
      <c r="F187" s="140"/>
      <c r="G187" s="140"/>
      <c r="H187" s="140"/>
      <c r="I187" s="140"/>
      <c r="J187" s="140"/>
      <c r="K187" s="140"/>
      <c r="L187" s="140"/>
      <c r="M187" s="140"/>
      <c r="N187" s="140"/>
      <c r="O187" s="140"/>
      <c r="P187" s="140"/>
      <c r="Q187" s="140"/>
      <c r="R187" s="140"/>
      <c r="S187" s="140"/>
      <c r="T187" s="140"/>
      <c r="U187" s="140"/>
      <c r="V187" s="140"/>
      <c r="W187" s="140"/>
      <c r="X187" s="140"/>
      <c r="Y187" s="140"/>
      <c r="Z187" s="140"/>
    </row>
    <row r="188">
      <c r="A188" s="169"/>
      <c r="B188" s="170"/>
      <c r="C188" s="140"/>
      <c r="D188" s="140"/>
      <c r="E188" s="140"/>
      <c r="F188" s="140"/>
      <c r="G188" s="140"/>
      <c r="H188" s="140"/>
      <c r="I188" s="140"/>
      <c r="J188" s="140"/>
      <c r="K188" s="140"/>
      <c r="L188" s="140"/>
      <c r="M188" s="140"/>
      <c r="N188" s="140"/>
      <c r="O188" s="140"/>
      <c r="P188" s="140"/>
      <c r="Q188" s="140"/>
      <c r="R188" s="140"/>
      <c r="S188" s="140"/>
      <c r="T188" s="140"/>
      <c r="U188" s="140"/>
      <c r="V188" s="140"/>
      <c r="W188" s="140"/>
      <c r="X188" s="140"/>
      <c r="Y188" s="140"/>
      <c r="Z188" s="140"/>
    </row>
    <row r="189">
      <c r="A189" s="169"/>
      <c r="B189" s="170"/>
      <c r="C189" s="140"/>
      <c r="D189" s="140"/>
      <c r="E189" s="140"/>
      <c r="F189" s="140"/>
      <c r="G189" s="140"/>
      <c r="H189" s="140"/>
      <c r="I189" s="140"/>
      <c r="J189" s="140"/>
      <c r="K189" s="140"/>
      <c r="L189" s="140"/>
      <c r="M189" s="140"/>
      <c r="N189" s="140"/>
      <c r="O189" s="140"/>
      <c r="P189" s="140"/>
      <c r="Q189" s="140"/>
      <c r="R189" s="140"/>
      <c r="S189" s="140"/>
      <c r="T189" s="140"/>
      <c r="U189" s="140"/>
      <c r="V189" s="140"/>
      <c r="W189" s="140"/>
      <c r="X189" s="140"/>
      <c r="Y189" s="140"/>
      <c r="Z189" s="140"/>
    </row>
    <row r="190">
      <c r="A190" s="169"/>
      <c r="B190" s="170"/>
      <c r="C190" s="140"/>
      <c r="D190" s="140"/>
      <c r="E190" s="140"/>
      <c r="F190" s="140"/>
      <c r="G190" s="140"/>
      <c r="H190" s="140"/>
      <c r="I190" s="140"/>
      <c r="J190" s="140"/>
      <c r="K190" s="140"/>
      <c r="L190" s="140"/>
      <c r="M190" s="140"/>
      <c r="N190" s="140"/>
      <c r="O190" s="140"/>
      <c r="P190" s="140"/>
      <c r="Q190" s="140"/>
      <c r="R190" s="140"/>
      <c r="S190" s="140"/>
      <c r="T190" s="140"/>
      <c r="U190" s="140"/>
      <c r="V190" s="140"/>
      <c r="W190" s="140"/>
      <c r="X190" s="140"/>
      <c r="Y190" s="140"/>
      <c r="Z190" s="140"/>
    </row>
    <row r="191">
      <c r="A191" s="169"/>
      <c r="B191" s="170"/>
      <c r="C191" s="140"/>
      <c r="D191" s="140"/>
      <c r="E191" s="140"/>
      <c r="F191" s="140"/>
      <c r="G191" s="140"/>
      <c r="H191" s="140"/>
      <c r="I191" s="140"/>
      <c r="J191" s="140"/>
      <c r="K191" s="140"/>
      <c r="L191" s="140"/>
      <c r="M191" s="140"/>
      <c r="N191" s="140"/>
      <c r="O191" s="140"/>
      <c r="P191" s="140"/>
      <c r="Q191" s="140"/>
      <c r="R191" s="140"/>
      <c r="S191" s="140"/>
      <c r="T191" s="140"/>
      <c r="U191" s="140"/>
      <c r="V191" s="140"/>
      <c r="W191" s="140"/>
      <c r="X191" s="140"/>
      <c r="Y191" s="140"/>
      <c r="Z191" s="140"/>
    </row>
    <row r="192">
      <c r="A192" s="169"/>
      <c r="B192" s="170"/>
      <c r="C192" s="140"/>
      <c r="D192" s="140"/>
      <c r="E192" s="140"/>
      <c r="F192" s="140"/>
      <c r="G192" s="140"/>
      <c r="H192" s="140"/>
      <c r="I192" s="140"/>
      <c r="J192" s="140"/>
      <c r="K192" s="140"/>
      <c r="L192" s="140"/>
      <c r="M192" s="140"/>
      <c r="N192" s="140"/>
      <c r="O192" s="140"/>
      <c r="P192" s="140"/>
      <c r="Q192" s="140"/>
      <c r="R192" s="140"/>
      <c r="S192" s="140"/>
      <c r="T192" s="140"/>
      <c r="U192" s="140"/>
      <c r="V192" s="140"/>
      <c r="W192" s="140"/>
      <c r="X192" s="140"/>
      <c r="Y192" s="140"/>
      <c r="Z192" s="140"/>
    </row>
    <row r="193">
      <c r="A193" s="169"/>
      <c r="B193" s="170"/>
      <c r="C193" s="140"/>
      <c r="D193" s="140"/>
      <c r="E193" s="140"/>
      <c r="F193" s="140"/>
      <c r="G193" s="140"/>
      <c r="H193" s="140"/>
      <c r="I193" s="140"/>
      <c r="J193" s="140"/>
      <c r="K193" s="140"/>
      <c r="L193" s="140"/>
      <c r="M193" s="140"/>
      <c r="N193" s="140"/>
      <c r="O193" s="140"/>
      <c r="P193" s="140"/>
      <c r="Q193" s="140"/>
      <c r="R193" s="140"/>
      <c r="S193" s="140"/>
      <c r="T193" s="140"/>
      <c r="U193" s="140"/>
      <c r="V193" s="140"/>
      <c r="W193" s="140"/>
      <c r="X193" s="140"/>
      <c r="Y193" s="140"/>
      <c r="Z193" s="140"/>
    </row>
    <row r="194">
      <c r="A194" s="169"/>
      <c r="B194" s="170"/>
      <c r="C194" s="140"/>
      <c r="D194" s="140"/>
      <c r="E194" s="140"/>
      <c r="F194" s="140"/>
      <c r="G194" s="140"/>
      <c r="H194" s="140"/>
      <c r="I194" s="140"/>
      <c r="J194" s="140"/>
      <c r="K194" s="140"/>
      <c r="L194" s="140"/>
      <c r="M194" s="140"/>
      <c r="N194" s="140"/>
      <c r="O194" s="140"/>
      <c r="P194" s="140"/>
      <c r="Q194" s="140"/>
      <c r="R194" s="140"/>
      <c r="S194" s="140"/>
      <c r="T194" s="140"/>
      <c r="U194" s="140"/>
      <c r="V194" s="140"/>
      <c r="W194" s="140"/>
      <c r="X194" s="140"/>
      <c r="Y194" s="140"/>
      <c r="Z194" s="140"/>
    </row>
    <row r="195">
      <c r="A195" s="169"/>
      <c r="B195" s="170"/>
      <c r="C195" s="140"/>
      <c r="D195" s="140"/>
      <c r="E195" s="140"/>
      <c r="F195" s="140"/>
      <c r="G195" s="140"/>
      <c r="H195" s="140"/>
      <c r="I195" s="140"/>
      <c r="J195" s="140"/>
      <c r="K195" s="140"/>
      <c r="L195" s="140"/>
      <c r="M195" s="140"/>
      <c r="N195" s="140"/>
      <c r="O195" s="140"/>
      <c r="P195" s="140"/>
      <c r="Q195" s="140"/>
      <c r="R195" s="140"/>
      <c r="S195" s="140"/>
      <c r="T195" s="140"/>
      <c r="U195" s="140"/>
      <c r="V195" s="140"/>
      <c r="W195" s="140"/>
      <c r="X195" s="140"/>
      <c r="Y195" s="140"/>
      <c r="Z195" s="140"/>
    </row>
    <row r="196">
      <c r="A196" s="169"/>
      <c r="B196" s="170"/>
      <c r="C196" s="140"/>
      <c r="D196" s="140"/>
      <c r="E196" s="140"/>
      <c r="F196" s="140"/>
      <c r="G196" s="140"/>
      <c r="H196" s="140"/>
      <c r="I196" s="140"/>
      <c r="J196" s="140"/>
      <c r="K196" s="140"/>
      <c r="L196" s="140"/>
      <c r="M196" s="140"/>
      <c r="N196" s="140"/>
      <c r="O196" s="140"/>
      <c r="P196" s="140"/>
      <c r="Q196" s="140"/>
      <c r="R196" s="140"/>
      <c r="S196" s="140"/>
      <c r="T196" s="140"/>
      <c r="U196" s="140"/>
      <c r="V196" s="140"/>
      <c r="W196" s="140"/>
      <c r="X196" s="140"/>
      <c r="Y196" s="140"/>
      <c r="Z196" s="140"/>
    </row>
    <row r="197">
      <c r="A197" s="169"/>
      <c r="B197" s="170"/>
      <c r="C197" s="140"/>
      <c r="D197" s="140"/>
      <c r="E197" s="140"/>
      <c r="F197" s="140"/>
      <c r="G197" s="140"/>
      <c r="H197" s="140"/>
      <c r="I197" s="140"/>
      <c r="J197" s="140"/>
      <c r="K197" s="140"/>
      <c r="L197" s="140"/>
      <c r="M197" s="140"/>
      <c r="N197" s="140"/>
      <c r="O197" s="140"/>
      <c r="P197" s="140"/>
      <c r="Q197" s="140"/>
      <c r="R197" s="140"/>
      <c r="S197" s="140"/>
      <c r="T197" s="140"/>
      <c r="U197" s="140"/>
      <c r="V197" s="140"/>
      <c r="W197" s="140"/>
      <c r="X197" s="140"/>
      <c r="Y197" s="140"/>
      <c r="Z197" s="140"/>
    </row>
    <row r="198">
      <c r="A198" s="169"/>
      <c r="B198" s="170"/>
      <c r="C198" s="140"/>
      <c r="D198" s="140"/>
      <c r="E198" s="140"/>
      <c r="F198" s="140"/>
      <c r="G198" s="140"/>
      <c r="H198" s="140"/>
      <c r="I198" s="140"/>
      <c r="J198" s="140"/>
      <c r="K198" s="140"/>
      <c r="L198" s="140"/>
      <c r="M198" s="140"/>
      <c r="N198" s="140"/>
      <c r="O198" s="140"/>
      <c r="P198" s="140"/>
      <c r="Q198" s="140"/>
      <c r="R198" s="140"/>
      <c r="S198" s="140"/>
      <c r="T198" s="140"/>
      <c r="U198" s="140"/>
      <c r="V198" s="140"/>
      <c r="W198" s="140"/>
      <c r="X198" s="140"/>
      <c r="Y198" s="140"/>
      <c r="Z198" s="140"/>
    </row>
    <row r="199">
      <c r="A199" s="169"/>
      <c r="B199" s="170"/>
      <c r="C199" s="140"/>
      <c r="D199" s="140"/>
      <c r="E199" s="140"/>
      <c r="F199" s="140"/>
      <c r="G199" s="140"/>
      <c r="H199" s="140"/>
      <c r="I199" s="140"/>
      <c r="J199" s="140"/>
      <c r="K199" s="140"/>
      <c r="L199" s="140"/>
      <c r="M199" s="140"/>
      <c r="N199" s="140"/>
      <c r="O199" s="140"/>
      <c r="P199" s="140"/>
      <c r="Q199" s="140"/>
      <c r="R199" s="140"/>
      <c r="S199" s="140"/>
      <c r="T199" s="140"/>
      <c r="U199" s="140"/>
      <c r="V199" s="140"/>
      <c r="W199" s="140"/>
      <c r="X199" s="140"/>
      <c r="Y199" s="140"/>
      <c r="Z199" s="140"/>
    </row>
    <row r="200">
      <c r="A200" s="169"/>
      <c r="B200" s="170"/>
      <c r="C200" s="140"/>
      <c r="D200" s="140"/>
      <c r="E200" s="140"/>
      <c r="F200" s="140"/>
      <c r="G200" s="140"/>
      <c r="H200" s="140"/>
      <c r="I200" s="140"/>
      <c r="J200" s="140"/>
      <c r="K200" s="140"/>
      <c r="L200" s="140"/>
      <c r="M200" s="140"/>
      <c r="N200" s="140"/>
      <c r="O200" s="140"/>
      <c r="P200" s="140"/>
      <c r="Q200" s="140"/>
      <c r="R200" s="140"/>
      <c r="S200" s="140"/>
      <c r="T200" s="140"/>
      <c r="U200" s="140"/>
      <c r="V200" s="140"/>
      <c r="W200" s="140"/>
      <c r="X200" s="140"/>
      <c r="Y200" s="140"/>
      <c r="Z200" s="140"/>
    </row>
    <row r="201">
      <c r="A201" s="169"/>
      <c r="B201" s="170"/>
      <c r="C201" s="140"/>
      <c r="D201" s="140"/>
      <c r="E201" s="140"/>
      <c r="F201" s="140"/>
      <c r="G201" s="140"/>
      <c r="H201" s="140"/>
      <c r="I201" s="140"/>
      <c r="J201" s="140"/>
      <c r="K201" s="140"/>
      <c r="L201" s="140"/>
      <c r="M201" s="140"/>
      <c r="N201" s="140"/>
      <c r="O201" s="140"/>
      <c r="P201" s="140"/>
      <c r="Q201" s="140"/>
      <c r="R201" s="140"/>
      <c r="S201" s="140"/>
      <c r="T201" s="140"/>
      <c r="U201" s="140"/>
      <c r="V201" s="140"/>
      <c r="W201" s="140"/>
      <c r="X201" s="140"/>
      <c r="Y201" s="140"/>
      <c r="Z201" s="140"/>
    </row>
    <row r="202">
      <c r="A202" s="169"/>
      <c r="B202" s="170"/>
      <c r="C202" s="140"/>
      <c r="D202" s="140"/>
      <c r="E202" s="140"/>
      <c r="F202" s="140"/>
      <c r="G202" s="140"/>
      <c r="H202" s="140"/>
      <c r="I202" s="140"/>
      <c r="J202" s="140"/>
      <c r="K202" s="140"/>
      <c r="L202" s="140"/>
      <c r="M202" s="140"/>
      <c r="N202" s="140"/>
      <c r="O202" s="140"/>
      <c r="P202" s="140"/>
      <c r="Q202" s="140"/>
      <c r="R202" s="140"/>
      <c r="S202" s="140"/>
      <c r="T202" s="140"/>
      <c r="U202" s="140"/>
      <c r="V202" s="140"/>
      <c r="W202" s="140"/>
      <c r="X202" s="140"/>
      <c r="Y202" s="140"/>
      <c r="Z202" s="140"/>
    </row>
    <row r="203">
      <c r="A203" s="169"/>
      <c r="B203" s="170"/>
      <c r="C203" s="140"/>
      <c r="D203" s="140"/>
      <c r="E203" s="140"/>
      <c r="F203" s="140"/>
      <c r="G203" s="140"/>
      <c r="H203" s="140"/>
      <c r="I203" s="140"/>
      <c r="J203" s="140"/>
      <c r="K203" s="140"/>
      <c r="L203" s="140"/>
      <c r="M203" s="140"/>
      <c r="N203" s="140"/>
      <c r="O203" s="140"/>
      <c r="P203" s="140"/>
      <c r="Q203" s="140"/>
      <c r="R203" s="140"/>
      <c r="S203" s="140"/>
      <c r="T203" s="140"/>
      <c r="U203" s="140"/>
      <c r="V203" s="140"/>
      <c r="W203" s="140"/>
      <c r="X203" s="140"/>
      <c r="Y203" s="140"/>
      <c r="Z203" s="140"/>
    </row>
    <row r="204">
      <c r="A204" s="169"/>
      <c r="B204" s="170"/>
      <c r="C204" s="140"/>
      <c r="D204" s="140"/>
      <c r="E204" s="140"/>
      <c r="F204" s="140"/>
      <c r="G204" s="140"/>
      <c r="H204" s="140"/>
      <c r="I204" s="140"/>
      <c r="J204" s="140"/>
      <c r="K204" s="140"/>
      <c r="L204" s="140"/>
      <c r="M204" s="140"/>
      <c r="N204" s="140"/>
      <c r="O204" s="140"/>
      <c r="P204" s="140"/>
      <c r="Q204" s="140"/>
      <c r="R204" s="140"/>
      <c r="S204" s="140"/>
      <c r="T204" s="140"/>
      <c r="U204" s="140"/>
      <c r="V204" s="140"/>
      <c r="W204" s="140"/>
      <c r="X204" s="140"/>
      <c r="Y204" s="140"/>
      <c r="Z204" s="140"/>
    </row>
    <row r="205">
      <c r="A205" s="169"/>
      <c r="B205" s="170"/>
      <c r="C205" s="140"/>
      <c r="D205" s="140"/>
      <c r="E205" s="140"/>
      <c r="F205" s="140"/>
      <c r="G205" s="140"/>
      <c r="H205" s="140"/>
      <c r="I205" s="140"/>
      <c r="J205" s="140"/>
      <c r="K205" s="140"/>
      <c r="L205" s="140"/>
      <c r="M205" s="140"/>
      <c r="N205" s="140"/>
      <c r="O205" s="140"/>
      <c r="P205" s="140"/>
      <c r="Q205" s="140"/>
      <c r="R205" s="140"/>
      <c r="S205" s="140"/>
      <c r="T205" s="140"/>
      <c r="U205" s="140"/>
      <c r="V205" s="140"/>
      <c r="W205" s="140"/>
      <c r="X205" s="140"/>
      <c r="Y205" s="140"/>
      <c r="Z205" s="140"/>
    </row>
    <row r="206">
      <c r="A206" s="169"/>
      <c r="B206" s="170"/>
      <c r="C206" s="140"/>
      <c r="D206" s="140"/>
      <c r="E206" s="140"/>
      <c r="F206" s="140"/>
      <c r="G206" s="140"/>
      <c r="H206" s="140"/>
      <c r="I206" s="140"/>
      <c r="J206" s="140"/>
      <c r="K206" s="140"/>
      <c r="L206" s="140"/>
      <c r="M206" s="140"/>
      <c r="N206" s="140"/>
      <c r="O206" s="140"/>
      <c r="P206" s="140"/>
      <c r="Q206" s="140"/>
      <c r="R206" s="140"/>
      <c r="S206" s="140"/>
      <c r="T206" s="140"/>
      <c r="U206" s="140"/>
      <c r="V206" s="140"/>
      <c r="W206" s="140"/>
      <c r="X206" s="140"/>
      <c r="Y206" s="140"/>
      <c r="Z206" s="140"/>
    </row>
    <row r="207">
      <c r="A207" s="169"/>
      <c r="B207" s="170"/>
      <c r="C207" s="140"/>
      <c r="D207" s="140"/>
      <c r="E207" s="140"/>
      <c r="F207" s="140"/>
      <c r="G207" s="140"/>
      <c r="H207" s="140"/>
      <c r="I207" s="140"/>
      <c r="J207" s="140"/>
      <c r="K207" s="140"/>
      <c r="L207" s="140"/>
      <c r="M207" s="140"/>
      <c r="N207" s="140"/>
      <c r="O207" s="140"/>
      <c r="P207" s="140"/>
      <c r="Q207" s="140"/>
      <c r="R207" s="140"/>
      <c r="S207" s="140"/>
      <c r="T207" s="140"/>
      <c r="U207" s="140"/>
      <c r="V207" s="140"/>
      <c r="W207" s="140"/>
      <c r="X207" s="140"/>
      <c r="Y207" s="140"/>
      <c r="Z207" s="140"/>
    </row>
    <row r="208">
      <c r="A208" s="169"/>
      <c r="B208" s="170"/>
      <c r="C208" s="140"/>
      <c r="D208" s="140"/>
      <c r="E208" s="140"/>
      <c r="F208" s="140"/>
      <c r="G208" s="140"/>
      <c r="H208" s="140"/>
      <c r="I208" s="140"/>
      <c r="J208" s="140"/>
      <c r="K208" s="140"/>
      <c r="L208" s="140"/>
      <c r="M208" s="140"/>
      <c r="N208" s="140"/>
      <c r="O208" s="140"/>
      <c r="P208" s="140"/>
      <c r="Q208" s="140"/>
      <c r="R208" s="140"/>
      <c r="S208" s="140"/>
      <c r="T208" s="140"/>
      <c r="U208" s="140"/>
      <c r="V208" s="140"/>
      <c r="W208" s="140"/>
      <c r="X208" s="140"/>
      <c r="Y208" s="140"/>
      <c r="Z208" s="140"/>
    </row>
    <row r="209">
      <c r="A209" s="169"/>
      <c r="B209" s="170"/>
      <c r="C209" s="140"/>
      <c r="D209" s="140"/>
      <c r="E209" s="140"/>
      <c r="F209" s="140"/>
      <c r="G209" s="140"/>
      <c r="H209" s="140"/>
      <c r="I209" s="140"/>
      <c r="J209" s="140"/>
      <c r="K209" s="140"/>
      <c r="L209" s="140"/>
      <c r="M209" s="140"/>
      <c r="N209" s="140"/>
      <c r="O209" s="140"/>
      <c r="P209" s="140"/>
      <c r="Q209" s="140"/>
      <c r="R209" s="140"/>
      <c r="S209" s="140"/>
      <c r="T209" s="140"/>
      <c r="U209" s="140"/>
      <c r="V209" s="140"/>
      <c r="W209" s="140"/>
      <c r="X209" s="140"/>
      <c r="Y209" s="140"/>
      <c r="Z209" s="140"/>
    </row>
    <row r="210">
      <c r="A210" s="169"/>
      <c r="B210" s="170"/>
      <c r="C210" s="140"/>
      <c r="D210" s="140"/>
      <c r="E210" s="140"/>
      <c r="F210" s="140"/>
      <c r="G210" s="140"/>
      <c r="H210" s="140"/>
      <c r="I210" s="140"/>
      <c r="J210" s="140"/>
      <c r="K210" s="140"/>
      <c r="L210" s="140"/>
      <c r="M210" s="140"/>
      <c r="N210" s="140"/>
      <c r="O210" s="140"/>
      <c r="P210" s="140"/>
      <c r="Q210" s="140"/>
      <c r="R210" s="140"/>
      <c r="S210" s="140"/>
      <c r="T210" s="140"/>
      <c r="U210" s="140"/>
      <c r="V210" s="140"/>
      <c r="W210" s="140"/>
      <c r="X210" s="140"/>
      <c r="Y210" s="140"/>
      <c r="Z210" s="140"/>
    </row>
    <row r="211">
      <c r="A211" s="169"/>
      <c r="B211" s="170"/>
      <c r="C211" s="140"/>
      <c r="D211" s="140"/>
      <c r="E211" s="140"/>
      <c r="F211" s="140"/>
      <c r="G211" s="140"/>
      <c r="H211" s="140"/>
      <c r="I211" s="140"/>
      <c r="J211" s="140"/>
      <c r="K211" s="140"/>
      <c r="L211" s="140"/>
      <c r="M211" s="140"/>
      <c r="N211" s="140"/>
      <c r="O211" s="140"/>
      <c r="P211" s="140"/>
      <c r="Q211" s="140"/>
      <c r="R211" s="140"/>
      <c r="S211" s="140"/>
      <c r="T211" s="140"/>
      <c r="U211" s="140"/>
      <c r="V211" s="140"/>
      <c r="W211" s="140"/>
      <c r="X211" s="140"/>
      <c r="Y211" s="140"/>
      <c r="Z211" s="140"/>
    </row>
    <row r="212">
      <c r="A212" s="169"/>
      <c r="B212" s="170"/>
      <c r="C212" s="140"/>
      <c r="D212" s="140"/>
      <c r="E212" s="140"/>
      <c r="F212" s="140"/>
      <c r="G212" s="140"/>
      <c r="H212" s="140"/>
      <c r="I212" s="140"/>
      <c r="J212" s="140"/>
      <c r="K212" s="140"/>
      <c r="L212" s="140"/>
      <c r="M212" s="140"/>
      <c r="N212" s="140"/>
      <c r="O212" s="140"/>
      <c r="P212" s="140"/>
      <c r="Q212" s="140"/>
      <c r="R212" s="140"/>
      <c r="S212" s="140"/>
      <c r="T212" s="140"/>
      <c r="U212" s="140"/>
      <c r="V212" s="140"/>
      <c r="W212" s="140"/>
      <c r="X212" s="140"/>
      <c r="Y212" s="140"/>
      <c r="Z212" s="140"/>
    </row>
    <row r="213">
      <c r="A213" s="169"/>
      <c r="B213" s="170"/>
      <c r="C213" s="140"/>
      <c r="D213" s="140"/>
      <c r="E213" s="140"/>
      <c r="F213" s="140"/>
      <c r="G213" s="140"/>
      <c r="H213" s="140"/>
      <c r="I213" s="140"/>
      <c r="J213" s="140"/>
      <c r="K213" s="140"/>
      <c r="L213" s="140"/>
      <c r="M213" s="140"/>
      <c r="N213" s="140"/>
      <c r="O213" s="140"/>
      <c r="P213" s="140"/>
      <c r="Q213" s="140"/>
      <c r="R213" s="140"/>
      <c r="S213" s="140"/>
      <c r="T213" s="140"/>
      <c r="U213" s="140"/>
      <c r="V213" s="140"/>
      <c r="W213" s="140"/>
      <c r="X213" s="140"/>
      <c r="Y213" s="140"/>
      <c r="Z213" s="140"/>
    </row>
    <row r="214">
      <c r="A214" s="169"/>
      <c r="B214" s="170"/>
      <c r="C214" s="140"/>
      <c r="D214" s="140"/>
      <c r="E214" s="140"/>
      <c r="F214" s="140"/>
      <c r="G214" s="140"/>
      <c r="H214" s="140"/>
      <c r="I214" s="140"/>
      <c r="J214" s="140"/>
      <c r="K214" s="140"/>
      <c r="L214" s="140"/>
      <c r="M214" s="140"/>
      <c r="N214" s="140"/>
      <c r="O214" s="140"/>
      <c r="P214" s="140"/>
      <c r="Q214" s="140"/>
      <c r="R214" s="140"/>
      <c r="S214" s="140"/>
      <c r="T214" s="140"/>
      <c r="U214" s="140"/>
      <c r="V214" s="140"/>
      <c r="W214" s="140"/>
      <c r="X214" s="140"/>
      <c r="Y214" s="140"/>
      <c r="Z214" s="140"/>
    </row>
    <row r="215">
      <c r="A215" s="169"/>
      <c r="B215" s="170"/>
      <c r="C215" s="140"/>
      <c r="D215" s="140"/>
      <c r="E215" s="140"/>
      <c r="F215" s="140"/>
      <c r="G215" s="140"/>
      <c r="H215" s="140"/>
      <c r="I215" s="140"/>
      <c r="J215" s="140"/>
      <c r="K215" s="140"/>
      <c r="L215" s="140"/>
      <c r="M215" s="140"/>
      <c r="N215" s="140"/>
      <c r="O215" s="140"/>
      <c r="P215" s="140"/>
      <c r="Q215" s="140"/>
      <c r="R215" s="140"/>
      <c r="S215" s="140"/>
      <c r="T215" s="140"/>
      <c r="U215" s="140"/>
      <c r="V215" s="140"/>
      <c r="W215" s="140"/>
      <c r="X215" s="140"/>
      <c r="Y215" s="140"/>
      <c r="Z215" s="140"/>
    </row>
    <row r="216">
      <c r="A216" s="169"/>
      <c r="B216" s="170"/>
      <c r="C216" s="140"/>
      <c r="D216" s="140"/>
      <c r="E216" s="140"/>
      <c r="F216" s="140"/>
      <c r="G216" s="140"/>
      <c r="H216" s="140"/>
      <c r="I216" s="140"/>
      <c r="J216" s="140"/>
      <c r="K216" s="140"/>
      <c r="L216" s="140"/>
      <c r="M216" s="140"/>
      <c r="N216" s="140"/>
      <c r="O216" s="140"/>
      <c r="P216" s="140"/>
      <c r="Q216" s="140"/>
      <c r="R216" s="140"/>
      <c r="S216" s="140"/>
      <c r="T216" s="140"/>
      <c r="U216" s="140"/>
      <c r="V216" s="140"/>
      <c r="W216" s="140"/>
      <c r="X216" s="140"/>
      <c r="Y216" s="140"/>
      <c r="Z216" s="140"/>
    </row>
    <row r="217">
      <c r="A217" s="169"/>
      <c r="B217" s="17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c r="A218" s="169"/>
      <c r="B218" s="17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c r="A219" s="169"/>
      <c r="B219" s="17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c r="A220" s="169"/>
      <c r="B220" s="17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c r="A221" s="169"/>
      <c r="B221" s="17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c r="A222" s="169"/>
      <c r="B222" s="17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c r="A223" s="169"/>
      <c r="B223" s="17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c r="A224" s="169"/>
      <c r="B224" s="17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c r="A225" s="169"/>
      <c r="B225" s="17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c r="A226" s="169"/>
      <c r="B226" s="17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c r="A227" s="169"/>
      <c r="B227" s="17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c r="A228" s="169"/>
      <c r="B228" s="17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c r="A229" s="169"/>
      <c r="B229" s="17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c r="A230" s="169"/>
      <c r="B230" s="17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c r="A231" s="169"/>
      <c r="B231" s="17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c r="A232" s="169"/>
      <c r="B232" s="17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c r="A233" s="169"/>
      <c r="B233" s="17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c r="A234" s="169"/>
      <c r="B234" s="17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c r="A235" s="169"/>
      <c r="B235" s="17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c r="A236" s="169"/>
      <c r="B236" s="17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c r="A237" s="169"/>
      <c r="B237" s="17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c r="A238" s="169"/>
      <c r="B238" s="17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c r="A239" s="169"/>
      <c r="B239" s="17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c r="A240" s="169"/>
      <c r="B240" s="17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c r="A241" s="169"/>
      <c r="B241" s="17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c r="A242" s="169"/>
      <c r="B242" s="17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c r="A243" s="169"/>
      <c r="B243" s="17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c r="A244" s="169"/>
      <c r="B244" s="17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c r="A245" s="169"/>
      <c r="B245" s="17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c r="A246" s="169"/>
      <c r="B246" s="17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c r="A247" s="169"/>
      <c r="B247" s="17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c r="A248" s="169"/>
      <c r="B248" s="17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c r="A249" s="169"/>
      <c r="B249" s="17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c r="A250" s="169"/>
      <c r="B250" s="17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c r="A251" s="169"/>
      <c r="B251" s="17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c r="A252" s="169"/>
      <c r="B252" s="17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c r="A253" s="169"/>
      <c r="B253" s="17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c r="A254" s="169"/>
      <c r="B254" s="17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c r="A255" s="169"/>
      <c r="B255" s="17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c r="A256" s="169"/>
      <c r="B256" s="17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c r="A257" s="169"/>
      <c r="B257" s="17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c r="A258" s="169"/>
      <c r="B258" s="17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c r="A259" s="169"/>
      <c r="B259" s="17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c r="A260" s="169"/>
      <c r="B260" s="17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c r="A261" s="169"/>
      <c r="B261" s="17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c r="A262" s="169"/>
      <c r="B262" s="17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c r="A263" s="169"/>
      <c r="B263" s="17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c r="A264" s="169"/>
      <c r="B264" s="17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c r="A265" s="169"/>
      <c r="B265" s="17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c r="A266" s="169"/>
      <c r="B266" s="17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c r="A267" s="169"/>
      <c r="B267" s="17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c r="A268" s="169"/>
      <c r="B268" s="17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c r="A269" s="169"/>
      <c r="B269" s="17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c r="A270" s="169"/>
      <c r="B270" s="17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c r="A271" s="169"/>
      <c r="B271" s="17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c r="A272" s="169"/>
      <c r="B272" s="17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c r="A273" s="169"/>
      <c r="B273" s="17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c r="A274" s="169"/>
      <c r="B274" s="17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c r="A275" s="169"/>
      <c r="B275" s="17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c r="A276" s="169"/>
      <c r="B276" s="17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c r="A277" s="169"/>
      <c r="B277" s="17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c r="A278" s="169"/>
      <c r="B278" s="17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c r="A279" s="169"/>
      <c r="B279" s="17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c r="A280" s="169"/>
      <c r="B280" s="17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c r="A281" s="169"/>
      <c r="B281" s="17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c r="A282" s="169"/>
      <c r="B282" s="17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c r="A283" s="169"/>
      <c r="B283" s="17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c r="A284" s="169"/>
      <c r="B284" s="17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c r="A285" s="169"/>
      <c r="B285" s="17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c r="A286" s="169"/>
      <c r="B286" s="17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c r="A287" s="169"/>
      <c r="B287" s="17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c r="A288" s="169"/>
      <c r="B288" s="17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c r="A289" s="169"/>
      <c r="B289" s="17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c r="A290" s="169"/>
      <c r="B290" s="17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c r="A291" s="169"/>
      <c r="B291" s="17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c r="A292" s="169"/>
      <c r="B292" s="17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c r="A293" s="169"/>
      <c r="B293" s="17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c r="A294" s="169"/>
      <c r="B294" s="17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c r="A295" s="169"/>
      <c r="B295" s="17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c r="A296" s="169"/>
      <c r="B296" s="17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c r="A297" s="169"/>
      <c r="B297" s="17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c r="A298" s="169"/>
      <c r="B298" s="17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c r="A299" s="169"/>
      <c r="B299" s="17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c r="A300" s="169"/>
      <c r="B300" s="17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c r="A301" s="169"/>
      <c r="B301" s="17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c r="A302" s="169"/>
      <c r="B302" s="17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c r="A303" s="169"/>
      <c r="B303" s="17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c r="A304" s="169"/>
      <c r="B304" s="17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c r="A305" s="169"/>
      <c r="B305" s="17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c r="A306" s="169"/>
      <c r="B306" s="17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c r="A307" s="169"/>
      <c r="B307" s="17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c r="A308" s="169"/>
      <c r="B308" s="17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c r="A309" s="169"/>
      <c r="B309" s="17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c r="A310" s="169"/>
      <c r="B310" s="17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c r="A311" s="169"/>
      <c r="B311" s="17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c r="A312" s="169"/>
      <c r="B312" s="17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c r="A313" s="169"/>
      <c r="B313" s="17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c r="A314" s="169"/>
      <c r="B314" s="17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c r="A315" s="169"/>
      <c r="B315" s="17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c r="A316" s="169"/>
      <c r="B316" s="17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c r="A317" s="169"/>
      <c r="B317" s="17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c r="A318" s="169"/>
      <c r="B318" s="17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c r="A319" s="169"/>
      <c r="B319" s="17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c r="A320" s="169"/>
      <c r="B320" s="17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c r="A321" s="169"/>
      <c r="B321" s="17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c r="A322" s="169"/>
      <c r="B322" s="17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c r="A323" s="169"/>
      <c r="B323" s="17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c r="A324" s="169"/>
      <c r="B324" s="17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c r="A325" s="169"/>
      <c r="B325" s="17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c r="A326" s="169"/>
      <c r="B326" s="17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c r="A327" s="169"/>
      <c r="B327" s="17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c r="A328" s="169"/>
      <c r="B328" s="17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c r="A329" s="169"/>
      <c r="B329" s="17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c r="A330" s="169"/>
      <c r="B330" s="17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c r="A331" s="169"/>
      <c r="B331" s="17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c r="A332" s="169"/>
      <c r="B332" s="17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c r="A333" s="169"/>
      <c r="B333" s="17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c r="A334" s="169"/>
      <c r="B334" s="17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c r="A335" s="169"/>
      <c r="B335" s="17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c r="A336" s="169"/>
      <c r="B336" s="17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c r="A337" s="169"/>
      <c r="B337" s="17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c r="A338" s="169"/>
      <c r="B338" s="17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c r="A339" s="169"/>
      <c r="B339" s="17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c r="A340" s="169"/>
      <c r="B340" s="17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c r="A341" s="169"/>
      <c r="B341" s="17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c r="A342" s="169"/>
      <c r="B342" s="17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c r="A343" s="169"/>
      <c r="B343" s="17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c r="A344" s="169"/>
      <c r="B344" s="17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c r="A345" s="169"/>
      <c r="B345" s="17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c r="A346" s="169"/>
      <c r="B346" s="17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c r="A347" s="169"/>
      <c r="B347" s="17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c r="A348" s="169"/>
      <c r="B348" s="17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c r="A349" s="169"/>
      <c r="B349" s="17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c r="A350" s="169"/>
      <c r="B350" s="17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c r="A351" s="169"/>
      <c r="B351" s="17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c r="A352" s="169"/>
      <c r="B352" s="17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c r="A353" s="169"/>
      <c r="B353" s="17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c r="A354" s="169"/>
      <c r="B354" s="17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c r="A355" s="169"/>
      <c r="B355" s="17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c r="A356" s="169"/>
      <c r="B356" s="17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c r="A357" s="169"/>
      <c r="B357" s="17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c r="A358" s="169"/>
      <c r="B358" s="17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c r="A359" s="169"/>
      <c r="B359" s="17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c r="A360" s="169"/>
      <c r="B360" s="17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c r="A361" s="169"/>
      <c r="B361" s="17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c r="A362" s="169"/>
      <c r="B362" s="17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c r="A363" s="169"/>
      <c r="B363" s="17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c r="A364" s="169"/>
      <c r="B364" s="17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c r="A365" s="169"/>
      <c r="B365" s="17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c r="A366" s="169"/>
      <c r="B366" s="17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c r="A367" s="169"/>
      <c r="B367" s="17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c r="A368" s="169"/>
      <c r="B368" s="17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c r="A369" s="169"/>
      <c r="B369" s="17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c r="A370" s="169"/>
      <c r="B370" s="17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c r="A371" s="169"/>
      <c r="B371" s="17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c r="A372" s="169"/>
      <c r="B372" s="17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c r="A373" s="169"/>
      <c r="B373" s="17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c r="A374" s="169"/>
      <c r="B374" s="17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c r="A375" s="169"/>
      <c r="B375" s="17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c r="A376" s="169"/>
      <c r="B376" s="17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c r="A377" s="169"/>
      <c r="B377" s="17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c r="A378" s="169"/>
      <c r="B378" s="17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c r="A379" s="169"/>
      <c r="B379" s="17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c r="A380" s="169"/>
      <c r="B380" s="17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c r="A381" s="169"/>
      <c r="B381" s="17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c r="A382" s="169"/>
      <c r="B382" s="17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c r="A383" s="169"/>
      <c r="B383" s="17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c r="A384" s="169"/>
      <c r="B384" s="17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c r="A385" s="169"/>
      <c r="B385" s="17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c r="A386" s="169"/>
      <c r="B386" s="17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c r="A387" s="169"/>
      <c r="B387" s="17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c r="A388" s="169"/>
      <c r="B388" s="17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c r="A389" s="169"/>
      <c r="B389" s="17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c r="A390" s="169"/>
      <c r="B390" s="17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c r="A391" s="169"/>
      <c r="B391" s="17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c r="A392" s="169"/>
      <c r="B392" s="17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c r="A393" s="169"/>
      <c r="B393" s="17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c r="A394" s="169"/>
      <c r="B394" s="17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c r="A395" s="169"/>
      <c r="B395" s="17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c r="A396" s="169"/>
      <c r="B396" s="17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c r="A397" s="169"/>
      <c r="B397" s="17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c r="A398" s="169"/>
      <c r="B398" s="17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c r="A399" s="169"/>
      <c r="B399" s="17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c r="A400" s="169"/>
      <c r="B400" s="17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c r="A401" s="169"/>
      <c r="B401" s="17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c r="A402" s="169"/>
      <c r="B402" s="17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c r="A403" s="169"/>
      <c r="B403" s="17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c r="A404" s="169"/>
      <c r="B404" s="17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c r="A405" s="169"/>
      <c r="B405" s="17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c r="A406" s="169"/>
      <c r="B406" s="17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c r="A407" s="169"/>
      <c r="B407" s="17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c r="A408" s="169"/>
      <c r="B408" s="17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c r="A409" s="169"/>
      <c r="B409" s="17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c r="A410" s="169"/>
      <c r="B410" s="17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c r="A411" s="169"/>
      <c r="B411" s="17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c r="A412" s="169"/>
      <c r="B412" s="17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c r="A413" s="169"/>
      <c r="B413" s="17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c r="A414" s="169"/>
      <c r="B414" s="17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c r="A415" s="169"/>
      <c r="B415" s="17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c r="A416" s="169"/>
      <c r="B416" s="17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c r="A417" s="169"/>
      <c r="B417" s="17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c r="A418" s="169"/>
      <c r="B418" s="17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c r="A419" s="169"/>
      <c r="B419" s="17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c r="A420" s="169"/>
      <c r="B420" s="17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c r="A421" s="169"/>
      <c r="B421" s="17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c r="A422" s="169"/>
      <c r="B422" s="17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c r="A423" s="169"/>
      <c r="B423" s="17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c r="A424" s="169"/>
      <c r="B424" s="17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c r="A425" s="169"/>
      <c r="B425" s="17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c r="A426" s="169"/>
      <c r="B426" s="17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c r="A427" s="169"/>
      <c r="B427" s="17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c r="A428" s="169"/>
      <c r="B428" s="17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c r="A429" s="169"/>
      <c r="B429" s="17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c r="A430" s="169"/>
      <c r="B430" s="17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c r="A431" s="169"/>
      <c r="B431" s="17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c r="A432" s="169"/>
      <c r="B432" s="17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c r="A433" s="169"/>
      <c r="B433" s="17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c r="A434" s="169"/>
      <c r="B434" s="17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c r="A435" s="169"/>
      <c r="B435" s="17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c r="A436" s="169"/>
      <c r="B436" s="17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c r="A437" s="169"/>
      <c r="B437" s="17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c r="A438" s="169"/>
      <c r="B438" s="17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c r="A439" s="169"/>
      <c r="B439" s="17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c r="A440" s="169"/>
      <c r="B440" s="17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c r="A441" s="169"/>
      <c r="B441" s="17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c r="A442" s="169"/>
      <c r="B442" s="17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c r="A443" s="169"/>
      <c r="B443" s="17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c r="A444" s="169"/>
      <c r="B444" s="17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c r="A445" s="169"/>
      <c r="B445" s="17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c r="A446" s="169"/>
      <c r="B446" s="17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c r="A447" s="169"/>
      <c r="B447" s="17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c r="A448" s="169"/>
      <c r="B448" s="17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c r="A449" s="169"/>
      <c r="B449" s="17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c r="A450" s="169"/>
      <c r="B450" s="17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c r="A451" s="169"/>
      <c r="B451" s="17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c r="A452" s="169"/>
      <c r="B452" s="17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c r="A453" s="169"/>
      <c r="B453" s="17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c r="A454" s="169"/>
      <c r="B454" s="17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c r="A455" s="169"/>
      <c r="B455" s="17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c r="A456" s="169"/>
      <c r="B456" s="17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c r="A457" s="169"/>
      <c r="B457" s="17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c r="A458" s="169"/>
      <c r="B458" s="17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c r="A459" s="169"/>
      <c r="B459" s="17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c r="A460" s="169"/>
      <c r="B460" s="17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c r="A461" s="169"/>
      <c r="B461" s="17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c r="A462" s="169"/>
      <c r="B462" s="17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c r="A463" s="169"/>
      <c r="B463" s="17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c r="A464" s="169"/>
      <c r="B464" s="17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c r="A465" s="169"/>
      <c r="B465" s="17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c r="A466" s="169"/>
      <c r="B466" s="17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c r="A467" s="169"/>
      <c r="B467" s="17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c r="A468" s="169"/>
      <c r="B468" s="17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c r="A469" s="169"/>
      <c r="B469" s="17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c r="A470" s="169"/>
      <c r="B470" s="17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c r="A471" s="169"/>
      <c r="B471" s="17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c r="A472" s="169"/>
      <c r="B472" s="17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c r="A473" s="169"/>
      <c r="B473" s="17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c r="A474" s="169"/>
      <c r="B474" s="17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c r="A475" s="169"/>
      <c r="B475" s="17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c r="A476" s="169"/>
      <c r="B476" s="17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c r="A477" s="169"/>
      <c r="B477" s="17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c r="A478" s="169"/>
      <c r="B478" s="17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c r="A479" s="169"/>
      <c r="B479" s="17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c r="A480" s="169"/>
      <c r="B480" s="17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c r="A481" s="169"/>
      <c r="B481" s="17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c r="A482" s="169"/>
      <c r="B482" s="17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c r="A483" s="169"/>
      <c r="B483" s="17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c r="A484" s="169"/>
      <c r="B484" s="17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c r="A485" s="169"/>
      <c r="B485" s="17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c r="A486" s="169"/>
      <c r="B486" s="17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c r="A487" s="169"/>
      <c r="B487" s="17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c r="A488" s="169"/>
      <c r="B488" s="17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c r="A489" s="169"/>
      <c r="B489" s="17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c r="A490" s="169"/>
      <c r="B490" s="17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c r="A491" s="169"/>
      <c r="B491" s="17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c r="A492" s="169"/>
      <c r="B492" s="17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c r="A493" s="169"/>
      <c r="B493" s="17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c r="A494" s="169"/>
      <c r="B494" s="17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c r="A495" s="169"/>
      <c r="B495" s="17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c r="A496" s="169"/>
      <c r="B496" s="17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c r="A497" s="169"/>
      <c r="B497" s="17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c r="A498" s="169"/>
      <c r="B498" s="17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c r="A499" s="169"/>
      <c r="B499" s="17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c r="A500" s="169"/>
      <c r="B500" s="17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c r="A501" s="169"/>
      <c r="B501" s="17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c r="A502" s="169"/>
      <c r="B502" s="17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c r="A503" s="169"/>
      <c r="B503" s="17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c r="A504" s="169"/>
      <c r="B504" s="17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c r="A505" s="169"/>
      <c r="B505" s="17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c r="A506" s="169"/>
      <c r="B506" s="17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c r="A507" s="169"/>
      <c r="B507" s="17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c r="A508" s="169"/>
      <c r="B508" s="17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c r="A509" s="169"/>
      <c r="B509" s="17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c r="A510" s="169"/>
      <c r="B510" s="17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c r="A511" s="169"/>
      <c r="B511" s="17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c r="A512" s="169"/>
      <c r="B512" s="17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c r="A513" s="169"/>
      <c r="B513" s="17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c r="A514" s="169"/>
      <c r="B514" s="17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c r="A515" s="169"/>
      <c r="B515" s="17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c r="A516" s="169"/>
      <c r="B516" s="17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c r="A517" s="169"/>
      <c r="B517" s="17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c r="A518" s="169"/>
      <c r="B518" s="17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c r="A519" s="169"/>
      <c r="B519" s="17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c r="A520" s="169"/>
      <c r="B520" s="17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c r="A521" s="169"/>
      <c r="B521" s="17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c r="A522" s="169"/>
      <c r="B522" s="17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c r="A523" s="169"/>
      <c r="B523" s="17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c r="A524" s="169"/>
      <c r="B524" s="17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c r="A525" s="169"/>
      <c r="B525" s="17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c r="A526" s="169"/>
      <c r="B526" s="17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c r="A527" s="169"/>
      <c r="B527" s="17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c r="A528" s="169"/>
      <c r="B528" s="17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c r="A529" s="169"/>
      <c r="B529" s="17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c r="A530" s="169"/>
      <c r="B530" s="17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c r="A531" s="169"/>
      <c r="B531" s="17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c r="A532" s="169"/>
      <c r="B532" s="17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c r="A533" s="169"/>
      <c r="B533" s="17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c r="A534" s="169"/>
      <c r="B534" s="17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c r="A535" s="169"/>
      <c r="B535" s="17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c r="A536" s="169"/>
      <c r="B536" s="17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c r="A537" s="169"/>
      <c r="B537" s="17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c r="A538" s="169"/>
      <c r="B538" s="17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c r="A539" s="169"/>
      <c r="B539" s="17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c r="A540" s="169"/>
      <c r="B540" s="17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c r="A541" s="169"/>
      <c r="B541" s="17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c r="A542" s="169"/>
      <c r="B542" s="17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c r="A543" s="169"/>
      <c r="B543" s="17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c r="A544" s="169"/>
      <c r="B544" s="17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c r="A545" s="169"/>
      <c r="B545" s="17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c r="A546" s="169"/>
      <c r="B546" s="17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c r="A547" s="169"/>
      <c r="B547" s="17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c r="A548" s="169"/>
      <c r="B548" s="17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c r="A549" s="169"/>
      <c r="B549" s="17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c r="A550" s="169"/>
      <c r="B550" s="17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c r="A551" s="169"/>
      <c r="B551" s="17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c r="A552" s="169"/>
      <c r="B552" s="17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c r="A553" s="169"/>
      <c r="B553" s="17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c r="A554" s="169"/>
      <c r="B554" s="17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c r="A555" s="169"/>
      <c r="B555" s="17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c r="A556" s="169"/>
      <c r="B556" s="17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c r="A557" s="169"/>
      <c r="B557" s="17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c r="A558" s="169"/>
      <c r="B558" s="17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c r="A559" s="169"/>
      <c r="B559" s="17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c r="A560" s="169"/>
      <c r="B560" s="17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c r="A561" s="169"/>
      <c r="B561" s="17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c r="A562" s="169"/>
      <c r="B562" s="17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c r="A563" s="169"/>
      <c r="B563" s="17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c r="A564" s="169"/>
      <c r="B564" s="17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c r="A565" s="169"/>
      <c r="B565" s="17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c r="A566" s="169"/>
      <c r="B566" s="17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c r="A567" s="169"/>
      <c r="B567" s="17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c r="A568" s="169"/>
      <c r="B568" s="17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c r="A569" s="169"/>
      <c r="B569" s="17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c r="A570" s="169"/>
      <c r="B570" s="17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c r="A571" s="169"/>
      <c r="B571" s="17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c r="A572" s="169"/>
      <c r="B572" s="17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c r="A573" s="169"/>
      <c r="B573" s="17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c r="A574" s="169"/>
      <c r="B574" s="17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c r="A575" s="169"/>
      <c r="B575" s="17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c r="A576" s="169"/>
      <c r="B576" s="17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c r="A577" s="169"/>
      <c r="B577" s="17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c r="A578" s="169"/>
      <c r="B578" s="17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c r="A579" s="169"/>
      <c r="B579" s="17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c r="A580" s="169"/>
      <c r="B580" s="17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c r="A581" s="169"/>
      <c r="B581" s="17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c r="A582" s="169"/>
      <c r="B582" s="17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c r="A583" s="169"/>
      <c r="B583" s="17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c r="A584" s="169"/>
      <c r="B584" s="17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c r="A585" s="169"/>
      <c r="B585" s="17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c r="A586" s="169"/>
      <c r="B586" s="17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c r="A587" s="169"/>
      <c r="B587" s="17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c r="A588" s="169"/>
      <c r="B588" s="17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c r="A589" s="169"/>
      <c r="B589" s="17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c r="A590" s="169"/>
      <c r="B590" s="17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c r="A591" s="169"/>
      <c r="B591" s="17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c r="A592" s="169"/>
      <c r="B592" s="17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c r="A593" s="169"/>
      <c r="B593" s="17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c r="A594" s="169"/>
      <c r="B594" s="17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c r="A595" s="169"/>
      <c r="B595" s="17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c r="A596" s="169"/>
      <c r="B596" s="17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c r="A597" s="169"/>
      <c r="B597" s="17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c r="A598" s="169"/>
      <c r="B598" s="17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c r="A599" s="169"/>
      <c r="B599" s="17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c r="A600" s="169"/>
      <c r="B600" s="17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c r="A601" s="169"/>
      <c r="B601" s="17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c r="A602" s="169"/>
      <c r="B602" s="17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c r="A603" s="169"/>
      <c r="B603" s="17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c r="A604" s="169"/>
      <c r="B604" s="17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c r="A605" s="169"/>
      <c r="B605" s="17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c r="A606" s="169"/>
      <c r="B606" s="17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c r="A607" s="169"/>
      <c r="B607" s="17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c r="A608" s="169"/>
      <c r="B608" s="17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c r="A609" s="169"/>
      <c r="B609" s="17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c r="A610" s="169"/>
      <c r="B610" s="17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c r="A611" s="169"/>
      <c r="B611" s="17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c r="A612" s="169"/>
      <c r="B612" s="17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c r="A613" s="169"/>
      <c r="B613" s="17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c r="A614" s="169"/>
      <c r="B614" s="17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c r="A615" s="169"/>
      <c r="B615" s="17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c r="A616" s="169"/>
      <c r="B616" s="17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c r="A617" s="169"/>
      <c r="B617" s="17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c r="A618" s="169"/>
      <c r="B618" s="17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c r="A619" s="169"/>
      <c r="B619" s="17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c r="A620" s="169"/>
      <c r="B620" s="17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c r="A621" s="169"/>
      <c r="B621" s="17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c r="A622" s="169"/>
      <c r="B622" s="17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c r="A623" s="169"/>
      <c r="B623" s="17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c r="A624" s="169"/>
      <c r="B624" s="17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c r="A625" s="169"/>
      <c r="B625" s="17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c r="A626" s="169"/>
      <c r="B626" s="17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c r="A627" s="169"/>
      <c r="B627" s="17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c r="A628" s="169"/>
      <c r="B628" s="17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c r="A629" s="169"/>
      <c r="B629" s="17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c r="A630" s="169"/>
      <c r="B630" s="17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c r="A631" s="169"/>
      <c r="B631" s="17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c r="A632" s="169"/>
      <c r="B632" s="17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c r="A633" s="169"/>
      <c r="B633" s="17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c r="A634" s="169"/>
      <c r="B634" s="17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c r="A635" s="169"/>
      <c r="B635" s="17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c r="A636" s="169"/>
      <c r="B636" s="17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c r="A637" s="169"/>
      <c r="B637" s="17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c r="A638" s="169"/>
      <c r="B638" s="17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c r="A639" s="169"/>
      <c r="B639" s="17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c r="A640" s="169"/>
      <c r="B640" s="17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c r="A641" s="169"/>
      <c r="B641" s="17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c r="A642" s="169"/>
      <c r="B642" s="17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c r="A643" s="169"/>
      <c r="B643" s="17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c r="A644" s="169"/>
      <c r="B644" s="17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c r="A645" s="169"/>
      <c r="B645" s="17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c r="A646" s="169"/>
      <c r="B646" s="17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c r="A647" s="169"/>
      <c r="B647" s="17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c r="A648" s="169"/>
      <c r="B648" s="17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c r="A649" s="169"/>
      <c r="B649" s="17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c r="A650" s="169"/>
      <c r="B650" s="17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c r="A651" s="169"/>
      <c r="B651" s="17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c r="A652" s="169"/>
      <c r="B652" s="17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c r="A653" s="169"/>
      <c r="B653" s="17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c r="A654" s="169"/>
      <c r="B654" s="17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c r="A655" s="169"/>
      <c r="B655" s="17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c r="A656" s="169"/>
      <c r="B656" s="17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c r="A657" s="169"/>
      <c r="B657" s="17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c r="A658" s="169"/>
      <c r="B658" s="17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c r="A659" s="169"/>
      <c r="B659" s="17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c r="A660" s="169"/>
      <c r="B660" s="17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c r="A661" s="169"/>
      <c r="B661" s="17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c r="A662" s="169"/>
      <c r="B662" s="17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c r="A663" s="169"/>
      <c r="B663" s="17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c r="A664" s="169"/>
      <c r="B664" s="17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c r="A665" s="169"/>
      <c r="B665" s="17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c r="A666" s="169"/>
      <c r="B666" s="17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c r="A667" s="169"/>
      <c r="B667" s="17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c r="A668" s="169"/>
      <c r="B668" s="17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c r="A669" s="169"/>
      <c r="B669" s="17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c r="A670" s="169"/>
      <c r="B670" s="17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c r="A671" s="169"/>
      <c r="B671" s="17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c r="A672" s="169"/>
      <c r="B672" s="17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c r="A673" s="169"/>
      <c r="B673" s="17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c r="A674" s="169"/>
      <c r="B674" s="17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c r="A675" s="169"/>
      <c r="B675" s="17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c r="A676" s="169"/>
      <c r="B676" s="17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c r="A677" s="169"/>
      <c r="B677" s="17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c r="A678" s="169"/>
      <c r="B678" s="17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c r="A679" s="169"/>
      <c r="B679" s="17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c r="A680" s="169"/>
      <c r="B680" s="17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c r="A681" s="169"/>
      <c r="B681" s="17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c r="A682" s="169"/>
      <c r="B682" s="17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c r="A683" s="169"/>
      <c r="B683" s="17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c r="A684" s="169"/>
      <c r="B684" s="17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c r="A685" s="169"/>
      <c r="B685" s="17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c r="A686" s="169"/>
      <c r="B686" s="17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c r="A687" s="169"/>
      <c r="B687" s="17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c r="A688" s="169"/>
      <c r="B688" s="17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c r="A689" s="169"/>
      <c r="B689" s="17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c r="A690" s="169"/>
      <c r="B690" s="17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c r="A691" s="169"/>
      <c r="B691" s="17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c r="A692" s="169"/>
      <c r="B692" s="17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c r="A693" s="169"/>
      <c r="B693" s="17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c r="A694" s="169"/>
      <c r="B694" s="17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c r="A695" s="169"/>
      <c r="B695" s="17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c r="A696" s="169"/>
      <c r="B696" s="17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c r="A697" s="169"/>
      <c r="B697" s="17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c r="A698" s="169"/>
      <c r="B698" s="17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c r="A699" s="169"/>
      <c r="B699" s="17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c r="A700" s="169"/>
      <c r="B700" s="17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c r="A701" s="169"/>
      <c r="B701" s="17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c r="A702" s="169"/>
      <c r="B702" s="17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c r="A703" s="169"/>
      <c r="B703" s="17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c r="A704" s="169"/>
      <c r="B704" s="17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c r="A705" s="169"/>
      <c r="B705" s="17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c r="A706" s="169"/>
      <c r="B706" s="17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c r="A707" s="169"/>
      <c r="B707" s="17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c r="A708" s="169"/>
      <c r="B708" s="17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c r="A709" s="169"/>
      <c r="B709" s="17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c r="A710" s="169"/>
      <c r="B710" s="17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c r="A711" s="169"/>
      <c r="B711" s="17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c r="A712" s="169"/>
      <c r="B712" s="17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c r="A713" s="169"/>
      <c r="B713" s="17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c r="A714" s="169"/>
      <c r="B714" s="17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c r="A715" s="169"/>
      <c r="B715" s="17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c r="A716" s="169"/>
      <c r="B716" s="17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c r="A717" s="169"/>
      <c r="B717" s="17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c r="A718" s="169"/>
      <c r="B718" s="17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c r="A719" s="169"/>
      <c r="B719" s="17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c r="A720" s="169"/>
      <c r="B720" s="17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c r="A721" s="169"/>
      <c r="B721" s="17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c r="A722" s="169"/>
      <c r="B722" s="17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c r="A723" s="169"/>
      <c r="B723" s="17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c r="A724" s="169"/>
      <c r="B724" s="17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c r="A725" s="169"/>
      <c r="B725" s="17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c r="A726" s="169"/>
      <c r="B726" s="17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c r="A727" s="169"/>
      <c r="B727" s="17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c r="A728" s="169"/>
      <c r="B728" s="17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c r="A729" s="169"/>
      <c r="B729" s="17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c r="A730" s="169"/>
      <c r="B730" s="17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c r="A731" s="169"/>
      <c r="B731" s="17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c r="A732" s="169"/>
      <c r="B732" s="17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c r="A733" s="169"/>
      <c r="B733" s="17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c r="A734" s="169"/>
      <c r="B734" s="17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c r="A735" s="169"/>
      <c r="B735" s="17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c r="A736" s="169"/>
      <c r="B736" s="17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c r="A737" s="169"/>
      <c r="B737" s="17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c r="A738" s="169"/>
      <c r="B738" s="17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c r="A739" s="169"/>
      <c r="B739" s="17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c r="A740" s="169"/>
      <c r="B740" s="17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c r="A741" s="169"/>
      <c r="B741" s="17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c r="A742" s="169"/>
      <c r="B742" s="17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c r="A743" s="169"/>
      <c r="B743" s="17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c r="A744" s="169"/>
      <c r="B744" s="17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c r="A745" s="169"/>
      <c r="B745" s="17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c r="A746" s="169"/>
      <c r="B746" s="17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c r="A747" s="169"/>
      <c r="B747" s="17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c r="A748" s="169"/>
      <c r="B748" s="17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c r="A749" s="169"/>
      <c r="B749" s="17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c r="A750" s="169"/>
      <c r="B750" s="17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c r="A751" s="169"/>
      <c r="B751" s="17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c r="A752" s="169"/>
      <c r="B752" s="17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c r="A753" s="169"/>
      <c r="B753" s="17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c r="A754" s="169"/>
      <c r="B754" s="17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c r="A755" s="169"/>
      <c r="B755" s="17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c r="A756" s="169"/>
      <c r="B756" s="17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c r="A757" s="169"/>
      <c r="B757" s="17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c r="A758" s="169"/>
      <c r="B758" s="17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c r="A759" s="169"/>
      <c r="B759" s="17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c r="A760" s="169"/>
      <c r="B760" s="17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c r="A761" s="169"/>
      <c r="B761" s="17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c r="A762" s="169"/>
      <c r="B762" s="17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c r="A763" s="169"/>
      <c r="B763" s="17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c r="A764" s="169"/>
      <c r="B764" s="17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c r="A765" s="169"/>
      <c r="B765" s="17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c r="A766" s="169"/>
      <c r="B766" s="17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c r="A767" s="169"/>
      <c r="B767" s="17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c r="A768" s="169"/>
      <c r="B768" s="17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c r="A769" s="169"/>
      <c r="B769" s="17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c r="A770" s="169"/>
      <c r="B770" s="17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c r="A771" s="169"/>
      <c r="B771" s="17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c r="A772" s="169"/>
      <c r="B772" s="17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c r="A773" s="169"/>
      <c r="B773" s="17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c r="A774" s="169"/>
      <c r="B774" s="17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c r="A775" s="169"/>
      <c r="B775" s="17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c r="A776" s="169"/>
      <c r="B776" s="17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c r="A777" s="169"/>
      <c r="B777" s="17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c r="A778" s="169"/>
      <c r="B778" s="17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c r="A779" s="169"/>
      <c r="B779" s="17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c r="A780" s="169"/>
      <c r="B780" s="17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c r="A781" s="169"/>
      <c r="B781" s="17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c r="A782" s="169"/>
      <c r="B782" s="17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c r="A783" s="169"/>
      <c r="B783" s="17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c r="A784" s="169"/>
      <c r="B784" s="17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c r="A785" s="169"/>
      <c r="B785" s="17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c r="A786" s="169"/>
      <c r="B786" s="17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c r="A787" s="169"/>
      <c r="B787" s="17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c r="A788" s="169"/>
      <c r="B788" s="17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c r="A789" s="169"/>
      <c r="B789" s="17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c r="A790" s="169"/>
      <c r="B790" s="17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c r="A791" s="169"/>
      <c r="B791" s="17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c r="A792" s="169"/>
      <c r="B792" s="17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c r="A793" s="169"/>
      <c r="B793" s="17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c r="A794" s="169"/>
      <c r="B794" s="17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c r="A795" s="169"/>
      <c r="B795" s="17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c r="A796" s="169"/>
      <c r="B796" s="17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c r="A797" s="169"/>
      <c r="B797" s="17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c r="A798" s="169"/>
      <c r="B798" s="17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c r="A799" s="169"/>
      <c r="B799" s="17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c r="A800" s="169"/>
      <c r="B800" s="17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c r="A801" s="169"/>
      <c r="B801" s="17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c r="A802" s="169"/>
      <c r="B802" s="17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c r="A803" s="169"/>
      <c r="B803" s="17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c r="A804" s="169"/>
      <c r="B804" s="17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c r="A805" s="169"/>
      <c r="B805" s="17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c r="A806" s="169"/>
      <c r="B806" s="17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c r="A807" s="169"/>
      <c r="B807" s="17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c r="A808" s="169"/>
      <c r="B808" s="17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c r="A809" s="169"/>
      <c r="B809" s="17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c r="A810" s="169"/>
      <c r="B810" s="17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c r="A811" s="169"/>
      <c r="B811" s="17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c r="A812" s="169"/>
      <c r="B812" s="17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c r="A813" s="169"/>
      <c r="B813" s="17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c r="A814" s="169"/>
      <c r="B814" s="17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c r="A815" s="169"/>
      <c r="B815" s="17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c r="A816" s="169"/>
      <c r="B816" s="17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c r="A817" s="169"/>
      <c r="B817" s="17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c r="A818" s="169"/>
      <c r="B818" s="17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c r="A819" s="169"/>
      <c r="B819" s="17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c r="A820" s="169"/>
      <c r="B820" s="17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c r="A821" s="169"/>
      <c r="B821" s="17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c r="A822" s="169"/>
      <c r="B822" s="17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c r="A823" s="169"/>
      <c r="B823" s="17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c r="A824" s="169"/>
      <c r="B824" s="17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c r="A825" s="169"/>
      <c r="B825" s="17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c r="A826" s="169"/>
      <c r="B826" s="17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c r="A827" s="169"/>
      <c r="B827" s="17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c r="A828" s="169"/>
      <c r="B828" s="17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c r="A829" s="169"/>
      <c r="B829" s="17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c r="A830" s="169"/>
      <c r="B830" s="17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c r="A831" s="169"/>
      <c r="B831" s="17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c r="A832" s="169"/>
      <c r="B832" s="17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c r="A833" s="169"/>
      <c r="B833" s="17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c r="A834" s="169"/>
      <c r="B834" s="17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c r="A835" s="169"/>
      <c r="B835" s="17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c r="A836" s="169"/>
      <c r="B836" s="17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c r="A837" s="169"/>
      <c r="B837" s="17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c r="A838" s="169"/>
      <c r="B838" s="17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c r="A839" s="169"/>
      <c r="B839" s="17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c r="A840" s="169"/>
      <c r="B840" s="17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c r="A841" s="169"/>
      <c r="B841" s="17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c r="A842" s="169"/>
      <c r="B842" s="17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c r="A843" s="169"/>
      <c r="B843" s="17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c r="A844" s="169"/>
      <c r="B844" s="17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c r="A845" s="169"/>
      <c r="B845" s="17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c r="A846" s="169"/>
      <c r="B846" s="17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c r="A847" s="169"/>
      <c r="B847" s="17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c r="A848" s="169"/>
      <c r="B848" s="17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c r="A849" s="169"/>
      <c r="B849" s="17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c r="A850" s="169"/>
      <c r="B850" s="17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c r="A851" s="169"/>
      <c r="B851" s="17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c r="A852" s="169"/>
      <c r="B852" s="17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c r="A853" s="169"/>
      <c r="B853" s="17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c r="A854" s="169"/>
      <c r="B854" s="17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c r="A855" s="169"/>
      <c r="B855" s="17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c r="A856" s="169"/>
      <c r="B856" s="17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c r="A857" s="169"/>
      <c r="B857" s="17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c r="A858" s="169"/>
      <c r="B858" s="17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c r="A859" s="169"/>
      <c r="B859" s="17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c r="A860" s="169"/>
      <c r="B860" s="17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c r="A861" s="169"/>
      <c r="B861" s="17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c r="A862" s="169"/>
      <c r="B862" s="17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c r="A863" s="169"/>
      <c r="B863" s="17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c r="A864" s="169"/>
      <c r="B864" s="17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c r="A865" s="169"/>
      <c r="B865" s="17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c r="A866" s="169"/>
      <c r="B866" s="17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c r="A867" s="169"/>
      <c r="B867" s="17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c r="A868" s="169"/>
      <c r="B868" s="17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c r="A869" s="169"/>
      <c r="B869" s="17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c r="A870" s="169"/>
      <c r="B870" s="17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c r="A871" s="169"/>
      <c r="B871" s="17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c r="A872" s="169"/>
      <c r="B872" s="17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c r="A873" s="169"/>
      <c r="B873" s="17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c r="A874" s="169"/>
      <c r="B874" s="17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c r="A875" s="169"/>
      <c r="B875" s="17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c r="A876" s="169"/>
      <c r="B876" s="17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c r="A877" s="169"/>
      <c r="B877" s="17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c r="A878" s="169"/>
      <c r="B878" s="17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c r="A879" s="169"/>
      <c r="B879" s="17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c r="A880" s="169"/>
      <c r="B880" s="17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c r="A881" s="169"/>
      <c r="B881" s="17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c r="A882" s="169"/>
      <c r="B882" s="17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c r="A883" s="169"/>
      <c r="B883" s="17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c r="A884" s="169"/>
      <c r="B884" s="17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c r="A885" s="169"/>
      <c r="B885" s="17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c r="A886" s="169"/>
      <c r="B886" s="17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c r="A887" s="169"/>
      <c r="B887" s="17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c r="A888" s="169"/>
      <c r="B888" s="17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c r="A889" s="169"/>
      <c r="B889" s="17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c r="A890" s="169"/>
      <c r="B890" s="17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c r="A891" s="169"/>
      <c r="B891" s="17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c r="A892" s="169"/>
      <c r="B892" s="17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c r="A893" s="169"/>
      <c r="B893" s="17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c r="A894" s="169"/>
      <c r="B894" s="17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c r="A895" s="169"/>
      <c r="B895" s="17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c r="A896" s="169"/>
      <c r="B896" s="17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c r="A897" s="169"/>
      <c r="B897" s="17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c r="A898" s="169"/>
      <c r="B898" s="17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c r="A899" s="169"/>
      <c r="B899" s="17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c r="A900" s="169"/>
      <c r="B900" s="17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c r="A901" s="169"/>
      <c r="B901" s="17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c r="A902" s="169"/>
      <c r="B902" s="17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c r="A903" s="169"/>
      <c r="B903" s="17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c r="A904" s="169"/>
      <c r="B904" s="17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c r="A905" s="169"/>
      <c r="B905" s="17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c r="A906" s="169"/>
      <c r="B906" s="17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c r="A907" s="169"/>
      <c r="B907" s="17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c r="A908" s="169"/>
      <c r="B908" s="17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c r="A909" s="169"/>
      <c r="B909" s="17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c r="A910" s="169"/>
      <c r="B910" s="17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c r="A911" s="169"/>
      <c r="B911" s="17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c r="A912" s="169"/>
      <c r="B912" s="17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c r="A913" s="169"/>
      <c r="B913" s="17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c r="A914" s="169"/>
      <c r="B914" s="17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c r="A915" s="169"/>
      <c r="B915" s="17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c r="A916" s="169"/>
      <c r="B916" s="17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c r="A917" s="169"/>
      <c r="B917" s="17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c r="A918" s="169"/>
      <c r="B918" s="17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c r="A919" s="169"/>
      <c r="B919" s="17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c r="A920" s="169"/>
      <c r="B920" s="17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c r="A921" s="169"/>
      <c r="B921" s="17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c r="A922" s="169"/>
      <c r="B922" s="17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c r="A923" s="169"/>
      <c r="B923" s="17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c r="A924" s="169"/>
      <c r="B924" s="17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c r="A925" s="169"/>
      <c r="B925" s="17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c r="A926" s="169"/>
      <c r="B926" s="17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c r="A927" s="169"/>
      <c r="B927" s="17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c r="A928" s="169"/>
      <c r="B928" s="17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c r="A929" s="169"/>
      <c r="B929" s="17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c r="A930" s="169"/>
      <c r="B930" s="17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c r="A931" s="169"/>
      <c r="B931" s="17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c r="A932" s="169"/>
      <c r="B932" s="17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c r="A933" s="169"/>
      <c r="B933" s="17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c r="A934" s="169"/>
      <c r="B934" s="17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c r="A935" s="169"/>
      <c r="B935" s="17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c r="A936" s="169"/>
      <c r="B936" s="17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c r="A937" s="169"/>
      <c r="B937" s="17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c r="A938" s="169"/>
      <c r="B938" s="17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c r="A939" s="169"/>
      <c r="B939" s="17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c r="A940" s="169"/>
      <c r="B940" s="17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c r="A941" s="169"/>
      <c r="B941" s="17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c r="A942" s="169"/>
      <c r="B942" s="17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c r="A943" s="169"/>
      <c r="B943" s="17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c r="A944" s="169"/>
      <c r="B944" s="17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c r="A945" s="169"/>
      <c r="B945" s="17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c r="A946" s="169"/>
      <c r="B946" s="17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c r="A947" s="169"/>
      <c r="B947" s="17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c r="A948" s="169"/>
      <c r="B948" s="17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c r="A949" s="169"/>
      <c r="B949" s="17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c r="A950" s="169"/>
      <c r="B950" s="17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c r="A951" s="169"/>
      <c r="B951" s="17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c r="A952" s="169"/>
      <c r="B952" s="17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c r="A953" s="169"/>
      <c r="B953" s="17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c r="A954" s="169"/>
      <c r="B954" s="17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c r="A955" s="169"/>
      <c r="B955" s="17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c r="A956" s="169"/>
      <c r="B956" s="17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c r="A957" s="169"/>
      <c r="B957" s="17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c r="A958" s="169"/>
      <c r="B958" s="17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c r="A959" s="169"/>
      <c r="B959" s="17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c r="A960" s="169"/>
      <c r="B960" s="17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c r="A961" s="169"/>
      <c r="B961" s="17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c r="A962" s="169"/>
      <c r="B962" s="17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c r="A963" s="169"/>
      <c r="B963" s="17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c r="A964" s="169"/>
      <c r="B964" s="17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c r="A965" s="169"/>
      <c r="B965" s="17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c r="A966" s="169"/>
      <c r="B966" s="17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c r="A967" s="169"/>
      <c r="B967" s="17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c r="A968" s="169"/>
      <c r="B968" s="17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c r="A969" s="169"/>
      <c r="B969" s="17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c r="A970" s="169"/>
      <c r="B970" s="17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c r="A971" s="169"/>
      <c r="B971" s="17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c r="A972" s="169"/>
      <c r="B972" s="17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c r="A973" s="169"/>
      <c r="B973" s="17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c r="A974" s="169"/>
      <c r="B974" s="17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c r="A975" s="169"/>
      <c r="B975" s="17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c r="A976" s="169"/>
      <c r="B976" s="17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c r="A977" s="169"/>
      <c r="B977" s="17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c r="A978" s="169"/>
      <c r="B978" s="17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c r="A979" s="169"/>
      <c r="B979" s="17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c r="A980" s="169"/>
      <c r="B980" s="17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c r="A981" s="169"/>
      <c r="B981" s="17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c r="A982" s="169"/>
      <c r="B982" s="17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c r="A983" s="169"/>
      <c r="B983" s="17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c r="A984" s="169"/>
      <c r="B984" s="17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c r="A985" s="169"/>
      <c r="B985" s="17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c r="A986" s="169"/>
      <c r="B986" s="17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c r="A987" s="169"/>
      <c r="B987" s="17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c r="A988" s="169"/>
      <c r="B988" s="17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c r="A989" s="169"/>
      <c r="B989" s="17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c r="A990" s="169"/>
      <c r="B990" s="17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c r="A991" s="169"/>
      <c r="B991" s="17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c r="A992" s="169"/>
      <c r="B992" s="17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c r="A993" s="169"/>
      <c r="B993" s="17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c r="A994" s="169"/>
      <c r="B994" s="17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c r="A995" s="169"/>
      <c r="B995" s="17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c r="A996" s="169"/>
      <c r="B996" s="17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row r="997">
      <c r="A997" s="169"/>
      <c r="B997" s="170"/>
      <c r="C997" s="140"/>
      <c r="D997" s="140"/>
      <c r="E997" s="140"/>
      <c r="F997" s="140"/>
      <c r="G997" s="140"/>
      <c r="H997" s="140"/>
      <c r="I997" s="140"/>
      <c r="J997" s="140"/>
      <c r="K997" s="140"/>
      <c r="L997" s="140"/>
      <c r="M997" s="140"/>
      <c r="N997" s="140"/>
      <c r="O997" s="140"/>
      <c r="P997" s="140"/>
      <c r="Q997" s="140"/>
      <c r="R997" s="140"/>
      <c r="S997" s="140"/>
      <c r="T997" s="140"/>
      <c r="U997" s="140"/>
      <c r="V997" s="140"/>
      <c r="W997" s="140"/>
      <c r="X997" s="140"/>
      <c r="Y997" s="140"/>
      <c r="Z997" s="140"/>
    </row>
    <row r="998">
      <c r="A998" s="169"/>
      <c r="B998" s="170"/>
      <c r="C998" s="140"/>
      <c r="D998" s="140"/>
      <c r="E998" s="140"/>
      <c r="F998" s="140"/>
      <c r="G998" s="140"/>
      <c r="H998" s="140"/>
      <c r="I998" s="140"/>
      <c r="J998" s="140"/>
      <c r="K998" s="140"/>
      <c r="L998" s="140"/>
      <c r="M998" s="140"/>
      <c r="N998" s="140"/>
      <c r="O998" s="140"/>
      <c r="P998" s="140"/>
      <c r="Q998" s="140"/>
      <c r="R998" s="140"/>
      <c r="S998" s="140"/>
      <c r="T998" s="140"/>
      <c r="U998" s="140"/>
      <c r="V998" s="140"/>
      <c r="W998" s="140"/>
      <c r="X998" s="140"/>
      <c r="Y998" s="140"/>
      <c r="Z998" s="140"/>
    </row>
    <row r="999">
      <c r="A999" s="169"/>
      <c r="B999" s="170"/>
      <c r="C999" s="140"/>
      <c r="D999" s="140"/>
      <c r="E999" s="140"/>
      <c r="F999" s="140"/>
      <c r="G999" s="140"/>
      <c r="H999" s="140"/>
      <c r="I999" s="140"/>
      <c r="J999" s="140"/>
      <c r="K999" s="140"/>
      <c r="L999" s="140"/>
      <c r="M999" s="140"/>
      <c r="N999" s="140"/>
      <c r="O999" s="140"/>
      <c r="P999" s="140"/>
      <c r="Q999" s="140"/>
      <c r="R999" s="140"/>
      <c r="S999" s="140"/>
      <c r="T999" s="140"/>
      <c r="U999" s="140"/>
      <c r="V999" s="140"/>
      <c r="W999" s="140"/>
      <c r="X999" s="140"/>
      <c r="Y999" s="140"/>
      <c r="Z999" s="140"/>
    </row>
  </sheetData>
  <customSheetViews>
    <customSheetView guid="{AA74A519-B95B-49EF-8B25-E9D3BF3B0FDD}" filter="1" showAutoFilter="1">
      <autoFilter ref="$A$2:$J$46"/>
    </customSheetView>
  </customSheetViews>
  <mergeCells count="11">
    <mergeCell ref="A31:A35"/>
    <mergeCell ref="A36:A38"/>
    <mergeCell ref="A39:A41"/>
    <mergeCell ref="A42:A45"/>
    <mergeCell ref="A3:A6"/>
    <mergeCell ref="A7:A11"/>
    <mergeCell ref="A12:A15"/>
    <mergeCell ref="A16:A19"/>
    <mergeCell ref="A20:A23"/>
    <mergeCell ref="A24:A27"/>
    <mergeCell ref="A28:A30"/>
  </mergeCells>
  <conditionalFormatting sqref="F2:H999">
    <cfRule type="expression" dxfId="1" priority="1" stopIfTrue="1">
      <formula>$F2="1 - Insuffisant"</formula>
    </cfRule>
  </conditionalFormatting>
  <conditionalFormatting sqref="F2:H999">
    <cfRule type="expression" dxfId="2" priority="2" stopIfTrue="1">
      <formula>$F2="2 - Émergent"</formula>
    </cfRule>
  </conditionalFormatting>
  <conditionalFormatting sqref="F2:H999">
    <cfRule type="expression" dxfId="3" priority="3" stopIfTrue="1">
      <formula>$F2="3 - Intermédiaire"</formula>
    </cfRule>
  </conditionalFormatting>
  <conditionalFormatting sqref="F2:H999">
    <cfRule type="expression" dxfId="4" priority="4" stopIfTrue="1">
      <formula>$F2="4 - Confirmé"</formula>
    </cfRule>
  </conditionalFormatting>
  <conditionalFormatting sqref="F2:H999">
    <cfRule type="expression" dxfId="5" priority="5" stopIfTrue="1">
      <formula>$F2="5 - Optimal"</formula>
    </cfRule>
  </conditionalFormatting>
  <conditionalFormatting sqref="F2:H999">
    <cfRule type="expression" dxfId="6" priority="6" stopIfTrue="1">
      <formula>$F2="Non applicable"</formula>
    </cfRule>
  </conditionalFormatting>
  <dataValidations>
    <dataValidation type="list" allowBlank="1" sqref="F3:F45">
      <formula1>'Echelle de maturité'!$C$2:$C$7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15.0"/>
  </cols>
  <sheetData>
    <row r="1">
      <c r="A1" s="16" t="s">
        <v>223</v>
      </c>
      <c r="B1" s="16" t="s">
        <v>224</v>
      </c>
    </row>
    <row r="2">
      <c r="A2" s="16" t="s">
        <v>407</v>
      </c>
      <c r="B2" s="16">
        <f>COUNTIF('NIS2'!F:F,"*Insuffisant*")</f>
        <v>1</v>
      </c>
    </row>
    <row r="3">
      <c r="A3" s="16" t="s">
        <v>408</v>
      </c>
      <c r="B3" s="16">
        <f>COUNTIF('NIS2'!F:F , "*Émergent*")</f>
        <v>0</v>
      </c>
    </row>
    <row r="4">
      <c r="A4" s="16" t="s">
        <v>409</v>
      </c>
      <c r="B4" s="16">
        <f>COUNTIF('NIS2'!F:F , "*Intermédiaire*")</f>
        <v>6</v>
      </c>
    </row>
    <row r="5">
      <c r="A5" s="16" t="s">
        <v>410</v>
      </c>
      <c r="B5" s="25">
        <f>COUNTIF('NIS2'!F:F , "*Confirmé*")</f>
        <v>7</v>
      </c>
    </row>
    <row r="6">
      <c r="A6" s="16" t="s">
        <v>411</v>
      </c>
      <c r="B6" s="25">
        <f>COUNTIF('NIS2'!F:F , "*Optimal*")</f>
        <v>26</v>
      </c>
    </row>
    <row r="7">
      <c r="A7" s="16" t="s">
        <v>16</v>
      </c>
      <c r="B7" s="25">
        <f>COUNTIF('NIS2'!F:F , "*Non applicable*")</f>
        <v>3</v>
      </c>
    </row>
    <row r="21">
      <c r="A21" s="172" t="str">
        <f t="array" ref="A21:H33">LET(raw_domains, 'NIS2'!A3:A45, levels, 'NIS2'!F3:F45, domains, SCAN("", raw_domains, LAMBDA(a, v, IF(v="", a, v))), unique_domains, UNIQUE(domains), headers, {"Domaine", "1 - Insuffisant", "2 - Émergent", "3 - Intermédiaire", "4 - Confirmé", "5 - Optimal", "Non applicable", "Total général"}, mat_levels, {"1 - Insuffisant", "2 - Émergent", "3 - Intermédiaire", "4 - Confirmé", "5 - Optimal", "Non applicable"}, counts, MAKEARRAY(ROWS(unique_domains), 6, LAMBDA(r, c, COUNTIFS(domains, INDEX(unique_domains, r), levels, INDEX(mat_levels, 1, c)))), row_totals, BYROW(counts, LAMBDA(row, SUM(row))), col_totals, BYCOL(counts, LAMBDA(col, SUM(col))), grand_total, SUM(row_totals), body, HSTACK(unique_domains, counts, row_totals), bottom, HSTACK("Total général", col_totals, grand_total), VSTACK(headers, body, bottom))</f>
        <v>Domaine</v>
      </c>
      <c r="B21" s="173" t="s">
        <v>5</v>
      </c>
      <c r="C21" s="173" t="s">
        <v>7</v>
      </c>
      <c r="D21" s="173" t="s">
        <v>9</v>
      </c>
      <c r="E21" s="173" t="s">
        <v>11</v>
      </c>
      <c r="F21" s="173" t="s">
        <v>13</v>
      </c>
      <c r="G21" s="173" t="s">
        <v>16</v>
      </c>
      <c r="H21" s="173" t="s">
        <v>219</v>
      </c>
    </row>
    <row r="22">
      <c r="A22" s="174" t="s">
        <v>417</v>
      </c>
      <c r="B22" s="175">
        <v>0.0</v>
      </c>
      <c r="C22" s="175">
        <v>0.0</v>
      </c>
      <c r="D22" s="175">
        <v>2.0</v>
      </c>
      <c r="E22" s="175">
        <v>0.0</v>
      </c>
      <c r="F22" s="175">
        <v>2.0</v>
      </c>
      <c r="G22" s="175">
        <v>0.0</v>
      </c>
      <c r="H22" s="176">
        <v>4.0</v>
      </c>
    </row>
    <row r="23">
      <c r="A23" s="174" t="s">
        <v>430</v>
      </c>
      <c r="B23" s="175">
        <v>0.0</v>
      </c>
      <c r="C23" s="175">
        <v>0.0</v>
      </c>
      <c r="D23" s="175">
        <v>1.0</v>
      </c>
      <c r="E23" s="175">
        <v>1.0</v>
      </c>
      <c r="F23" s="175">
        <v>2.0</v>
      </c>
      <c r="G23" s="175">
        <v>1.0</v>
      </c>
      <c r="H23" s="176">
        <v>5.0</v>
      </c>
    </row>
    <row r="24">
      <c r="A24" s="174" t="s">
        <v>446</v>
      </c>
      <c r="B24" s="175">
        <v>0.0</v>
      </c>
      <c r="C24" s="175">
        <v>0.0</v>
      </c>
      <c r="D24" s="175">
        <v>0.0</v>
      </c>
      <c r="E24" s="175">
        <v>1.0</v>
      </c>
      <c r="F24" s="175">
        <v>3.0</v>
      </c>
      <c r="G24" s="175">
        <v>0.0</v>
      </c>
      <c r="H24" s="176">
        <v>4.0</v>
      </c>
    </row>
    <row r="25">
      <c r="A25" s="174" t="s">
        <v>459</v>
      </c>
      <c r="B25" s="175">
        <v>0.0</v>
      </c>
      <c r="C25" s="175">
        <v>0.0</v>
      </c>
      <c r="D25" s="175">
        <v>1.0</v>
      </c>
      <c r="E25" s="175">
        <v>0.0</v>
      </c>
      <c r="F25" s="175">
        <v>3.0</v>
      </c>
      <c r="G25" s="175">
        <v>0.0</v>
      </c>
      <c r="H25" s="176">
        <v>4.0</v>
      </c>
    </row>
    <row r="26">
      <c r="A26" s="174" t="s">
        <v>472</v>
      </c>
      <c r="B26" s="175">
        <v>0.0</v>
      </c>
      <c r="C26" s="175">
        <v>0.0</v>
      </c>
      <c r="D26" s="175">
        <v>0.0</v>
      </c>
      <c r="E26" s="175">
        <v>1.0</v>
      </c>
      <c r="F26" s="175">
        <v>3.0</v>
      </c>
      <c r="G26" s="175">
        <v>0.0</v>
      </c>
      <c r="H26" s="176">
        <v>4.0</v>
      </c>
    </row>
    <row r="27">
      <c r="A27" s="174" t="s">
        <v>485</v>
      </c>
      <c r="B27" s="175">
        <v>0.0</v>
      </c>
      <c r="C27" s="175">
        <v>0.0</v>
      </c>
      <c r="D27" s="175">
        <v>1.0</v>
      </c>
      <c r="E27" s="175">
        <v>0.0</v>
      </c>
      <c r="F27" s="175">
        <v>3.0</v>
      </c>
      <c r="G27" s="175">
        <v>0.0</v>
      </c>
      <c r="H27" s="176">
        <v>4.0</v>
      </c>
    </row>
    <row r="28">
      <c r="A28" s="174" t="s">
        <v>498</v>
      </c>
      <c r="B28" s="175">
        <v>0.0</v>
      </c>
      <c r="C28" s="175">
        <v>0.0</v>
      </c>
      <c r="D28" s="175">
        <v>0.0</v>
      </c>
      <c r="E28" s="175">
        <v>1.0</v>
      </c>
      <c r="F28" s="175">
        <v>2.0</v>
      </c>
      <c r="G28" s="175">
        <v>0.0</v>
      </c>
      <c r="H28" s="176">
        <v>3.0</v>
      </c>
    </row>
    <row r="29">
      <c r="A29" s="174" t="s">
        <v>508</v>
      </c>
      <c r="B29" s="175">
        <v>0.0</v>
      </c>
      <c r="C29" s="175">
        <v>0.0</v>
      </c>
      <c r="D29" s="175">
        <v>0.0</v>
      </c>
      <c r="E29" s="175">
        <v>2.0</v>
      </c>
      <c r="F29" s="175">
        <v>1.0</v>
      </c>
      <c r="G29" s="175">
        <v>2.0</v>
      </c>
      <c r="H29" s="176">
        <v>5.0</v>
      </c>
    </row>
    <row r="30">
      <c r="A30" s="174" t="s">
        <v>524</v>
      </c>
      <c r="B30" s="175">
        <v>0.0</v>
      </c>
      <c r="C30" s="175">
        <v>0.0</v>
      </c>
      <c r="D30" s="175">
        <v>0.0</v>
      </c>
      <c r="E30" s="175">
        <v>0.0</v>
      </c>
      <c r="F30" s="175">
        <v>3.0</v>
      </c>
      <c r="G30" s="175">
        <v>0.0</v>
      </c>
      <c r="H30" s="176">
        <v>3.0</v>
      </c>
    </row>
    <row r="31">
      <c r="A31" s="174" t="s">
        <v>535</v>
      </c>
      <c r="B31" s="175">
        <v>1.0</v>
      </c>
      <c r="C31" s="175">
        <v>0.0</v>
      </c>
      <c r="D31" s="175">
        <v>1.0</v>
      </c>
      <c r="E31" s="175">
        <v>1.0</v>
      </c>
      <c r="F31" s="175">
        <v>0.0</v>
      </c>
      <c r="G31" s="175">
        <v>0.0</v>
      </c>
      <c r="H31" s="176">
        <v>3.0</v>
      </c>
    </row>
    <row r="32">
      <c r="A32" s="174" t="s">
        <v>546</v>
      </c>
      <c r="B32" s="175">
        <v>0.0</v>
      </c>
      <c r="C32" s="175">
        <v>0.0</v>
      </c>
      <c r="D32" s="175">
        <v>0.0</v>
      </c>
      <c r="E32" s="175">
        <v>0.0</v>
      </c>
      <c r="F32" s="175">
        <v>4.0</v>
      </c>
      <c r="G32" s="175">
        <v>0.0</v>
      </c>
      <c r="H32" s="176">
        <v>4.0</v>
      </c>
    </row>
    <row r="33">
      <c r="A33" s="177" t="s">
        <v>219</v>
      </c>
      <c r="B33" s="178">
        <v>1.0</v>
      </c>
      <c r="C33" s="178">
        <v>0.0</v>
      </c>
      <c r="D33" s="178">
        <v>6.0</v>
      </c>
      <c r="E33" s="178">
        <v>7.0</v>
      </c>
      <c r="F33" s="178">
        <v>26.0</v>
      </c>
      <c r="G33" s="178">
        <v>3.0</v>
      </c>
      <c r="H33" s="178">
        <v>43.0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AC0C"/>
    <outlinePr summaryBelow="0" summaryRight="0"/>
  </sheetPr>
  <sheetViews>
    <sheetView workbookViewId="0"/>
  </sheetViews>
  <sheetFormatPr customHeight="1" defaultColWidth="12.63" defaultRowHeight="15.75"/>
  <cols>
    <col customWidth="1" min="1" max="1" width="61.38"/>
    <col customWidth="1" hidden="1" min="2" max="2" width="33.75"/>
    <col customWidth="1" min="5" max="5" width="54.25"/>
    <col customWidth="1" hidden="1" min="6" max="6" width="67.25"/>
    <col customWidth="1" min="7" max="7" width="45.25"/>
    <col customWidth="1" min="8" max="8" width="24.13"/>
    <col customWidth="1" min="9" max="9" width="16.63"/>
    <col customWidth="1" min="11" max="11" width="29.0"/>
    <col customWidth="1" min="12" max="12" width="47.0"/>
    <col customWidth="1" min="13" max="13" width="58.75"/>
    <col customWidth="1" min="15" max="15" width="29.63"/>
    <col customWidth="1" min="16" max="16" width="45.25"/>
    <col customWidth="1" min="17" max="17" width="51.75"/>
    <col hidden="1" min="18" max="18" width="12.63"/>
  </cols>
  <sheetData>
    <row r="1" ht="30.0" customHeight="1">
      <c r="A1" s="179"/>
      <c r="B1" s="179"/>
      <c r="C1" s="180"/>
      <c r="D1" s="180"/>
      <c r="E1" s="180"/>
      <c r="F1" s="179"/>
      <c r="G1" s="181"/>
      <c r="H1" s="179"/>
      <c r="I1" s="179"/>
      <c r="J1" s="180"/>
      <c r="K1" s="180"/>
      <c r="L1" s="180"/>
      <c r="M1" s="179"/>
      <c r="N1" s="182"/>
      <c r="O1" s="182"/>
      <c r="P1" s="182"/>
      <c r="Q1" s="182"/>
      <c r="R1" s="183"/>
      <c r="S1" s="182"/>
      <c r="T1" s="182"/>
      <c r="U1" s="182"/>
      <c r="V1" s="182"/>
      <c r="W1" s="182"/>
      <c r="X1" s="182"/>
      <c r="Y1" s="182"/>
      <c r="Z1" s="182"/>
      <c r="AA1" s="182"/>
      <c r="AB1" s="182"/>
      <c r="AC1" s="182"/>
      <c r="AD1" s="182"/>
    </row>
    <row r="2" ht="76.5" customHeight="1">
      <c r="A2" s="184" t="s">
        <v>562</v>
      </c>
      <c r="B2" s="184" t="s">
        <v>562</v>
      </c>
      <c r="C2" s="185" t="s">
        <v>226</v>
      </c>
      <c r="D2" s="185" t="s">
        <v>563</v>
      </c>
      <c r="E2" s="185" t="s">
        <v>563</v>
      </c>
      <c r="F2" s="184" t="s">
        <v>229</v>
      </c>
      <c r="G2" s="186" t="s">
        <v>564</v>
      </c>
      <c r="H2" s="184" t="s">
        <v>32</v>
      </c>
      <c r="I2" s="184" t="s">
        <v>565</v>
      </c>
      <c r="J2" s="185" t="s">
        <v>566</v>
      </c>
      <c r="K2" s="185" t="s">
        <v>567</v>
      </c>
      <c r="L2" s="185" t="s">
        <v>568</v>
      </c>
      <c r="M2" s="184" t="s">
        <v>235</v>
      </c>
      <c r="N2" s="182"/>
      <c r="O2" s="182"/>
      <c r="P2" s="182"/>
      <c r="Q2" s="182"/>
      <c r="R2" s="183" t="s">
        <v>569</v>
      </c>
      <c r="S2" s="182"/>
      <c r="T2" s="182"/>
      <c r="U2" s="182"/>
      <c r="V2" s="182"/>
      <c r="W2" s="182"/>
      <c r="X2" s="182"/>
      <c r="Y2" s="182"/>
      <c r="Z2" s="182"/>
      <c r="AA2" s="182"/>
      <c r="AB2" s="182"/>
      <c r="AC2" s="182"/>
      <c r="AD2" s="182"/>
    </row>
    <row r="3">
      <c r="A3" s="187" t="s">
        <v>570</v>
      </c>
      <c r="B3" s="188" t="s">
        <v>571</v>
      </c>
      <c r="C3" s="189">
        <v>1.0</v>
      </c>
      <c r="D3" s="190">
        <v>46023.0</v>
      </c>
      <c r="E3" s="191" t="s">
        <v>572</v>
      </c>
      <c r="F3" s="192" t="s">
        <v>573</v>
      </c>
      <c r="G3" s="192" t="s">
        <v>574</v>
      </c>
      <c r="H3" s="193" t="s">
        <v>575</v>
      </c>
      <c r="I3" s="193" t="s">
        <v>271</v>
      </c>
      <c r="J3" s="193" t="s">
        <v>576</v>
      </c>
      <c r="K3" s="18" t="s">
        <v>16</v>
      </c>
      <c r="L3" s="194" t="s">
        <v>577</v>
      </c>
      <c r="M3" s="194" t="s">
        <v>578</v>
      </c>
      <c r="N3" s="195"/>
      <c r="O3" s="195"/>
      <c r="P3" s="195"/>
      <c r="Q3" s="195"/>
      <c r="R3" s="195" t="str">
        <f>IFERROR(__xludf.DUMMYFUNCTION("ARRAYFORMULA(LET(filled, SCAN("""", A3:A62, LAMBDA(acc, v, IF(v="""", acc, v))), IF(filled="""","""", TEXT(MATCH(filled, UNIQUE(FILTER(A3:A62, A3:A62&lt;&gt;"""")), 0), ""00"") &amp; "" - "" &amp; filled)))"),"01 - INVENTAIRE ET CONTRÔLE DES ACTIFS MATÉRIELS")</f>
        <v>01 - INVENTAIRE ET CONTRÔLE DES ACTIFS MATÉRIELS</v>
      </c>
      <c r="S3" s="195"/>
      <c r="T3" s="195"/>
      <c r="U3" s="195"/>
      <c r="V3" s="195"/>
      <c r="W3" s="195"/>
      <c r="X3" s="195"/>
      <c r="Y3" s="195"/>
      <c r="Z3" s="195"/>
      <c r="AA3" s="195"/>
      <c r="AB3" s="195"/>
      <c r="AC3" s="195"/>
      <c r="AD3" s="195"/>
    </row>
    <row r="4">
      <c r="A4" s="26"/>
      <c r="B4" s="188" t="s">
        <v>571</v>
      </c>
      <c r="C4" s="189">
        <v>1.0</v>
      </c>
      <c r="D4" s="190">
        <v>46054.0</v>
      </c>
      <c r="E4" s="191" t="s">
        <v>579</v>
      </c>
      <c r="F4" s="192" t="s">
        <v>580</v>
      </c>
      <c r="G4" s="192" t="s">
        <v>581</v>
      </c>
      <c r="H4" s="193" t="s">
        <v>575</v>
      </c>
      <c r="I4" s="193" t="s">
        <v>312</v>
      </c>
      <c r="J4" s="193" t="s">
        <v>576</v>
      </c>
      <c r="K4" s="18" t="s">
        <v>7</v>
      </c>
      <c r="L4" s="194" t="s">
        <v>582</v>
      </c>
      <c r="M4" s="194" t="s">
        <v>583</v>
      </c>
      <c r="O4" s="196"/>
      <c r="P4" s="196"/>
      <c r="Q4" s="196"/>
      <c r="R4" s="25" t="str">
        <f>IFERROR(__xludf.DUMMYFUNCTION("""COMPUTED_VALUE"""),"01 - INVENTAIRE ET CONTRÔLE DES ACTIFS MATÉRIELS")</f>
        <v>01 - INVENTAIRE ET CONTRÔLE DES ACTIFS MATÉRIELS</v>
      </c>
    </row>
    <row r="5">
      <c r="A5" s="26"/>
      <c r="B5" s="188" t="s">
        <v>571</v>
      </c>
      <c r="C5" s="189">
        <v>1.0</v>
      </c>
      <c r="D5" s="190">
        <v>46082.0</v>
      </c>
      <c r="E5" s="191" t="s">
        <v>584</v>
      </c>
      <c r="F5" s="192" t="s">
        <v>585</v>
      </c>
      <c r="G5" s="192" t="s">
        <v>586</v>
      </c>
      <c r="H5" s="193" t="s">
        <v>575</v>
      </c>
      <c r="I5" s="193" t="s">
        <v>271</v>
      </c>
      <c r="J5" s="193" t="s">
        <v>587</v>
      </c>
      <c r="K5" s="18" t="s">
        <v>13</v>
      </c>
      <c r="L5" s="197"/>
      <c r="M5" s="197"/>
      <c r="O5" s="198"/>
      <c r="P5" s="198"/>
      <c r="Q5" s="198"/>
      <c r="R5" s="25" t="str">
        <f>IFERROR(__xludf.DUMMYFUNCTION("""COMPUTED_VALUE"""),"01 - INVENTAIRE ET CONTRÔLE DES ACTIFS MATÉRIELS")</f>
        <v>01 - INVENTAIRE ET CONTRÔLE DES ACTIFS MATÉRIELS</v>
      </c>
    </row>
    <row r="6">
      <c r="A6" s="26"/>
      <c r="B6" s="188" t="s">
        <v>571</v>
      </c>
      <c r="C6" s="189">
        <v>1.0</v>
      </c>
      <c r="D6" s="190">
        <v>46113.0</v>
      </c>
      <c r="E6" s="191" t="s">
        <v>588</v>
      </c>
      <c r="F6" s="192" t="s">
        <v>589</v>
      </c>
      <c r="G6" s="192" t="s">
        <v>590</v>
      </c>
      <c r="H6" s="193" t="s">
        <v>575</v>
      </c>
      <c r="I6" s="193" t="s">
        <v>271</v>
      </c>
      <c r="J6" s="193" t="s">
        <v>587</v>
      </c>
      <c r="K6" s="18" t="s">
        <v>9</v>
      </c>
      <c r="L6" s="197"/>
      <c r="M6" s="197"/>
      <c r="O6" s="198"/>
      <c r="P6" s="198"/>
      <c r="Q6" s="198"/>
      <c r="R6" s="25" t="str">
        <f>IFERROR(__xludf.DUMMYFUNCTION("""COMPUTED_VALUE"""),"01 - INVENTAIRE ET CONTRÔLE DES ACTIFS MATÉRIELS")</f>
        <v>01 - INVENTAIRE ET CONTRÔLE DES ACTIFS MATÉRIELS</v>
      </c>
    </row>
    <row r="7">
      <c r="A7" s="27"/>
      <c r="B7" s="188" t="s">
        <v>571</v>
      </c>
      <c r="C7" s="189">
        <v>1.0</v>
      </c>
      <c r="D7" s="190">
        <v>46143.0</v>
      </c>
      <c r="E7" s="191" t="s">
        <v>591</v>
      </c>
      <c r="F7" s="192" t="s">
        <v>592</v>
      </c>
      <c r="G7" s="192" t="s">
        <v>593</v>
      </c>
      <c r="H7" s="193" t="s">
        <v>575</v>
      </c>
      <c r="I7" s="193" t="s">
        <v>271</v>
      </c>
      <c r="J7" s="199" t="s">
        <v>594</v>
      </c>
      <c r="K7" s="18" t="s">
        <v>5</v>
      </c>
      <c r="L7" s="197"/>
      <c r="M7" s="197"/>
      <c r="O7" s="198"/>
      <c r="P7" s="198"/>
      <c r="Q7" s="198"/>
      <c r="R7" s="25" t="str">
        <f>IFERROR(__xludf.DUMMYFUNCTION("""COMPUTED_VALUE"""),"01 - INVENTAIRE ET CONTRÔLE DES ACTIFS MATÉRIELS")</f>
        <v>01 - INVENTAIRE ET CONTRÔLE DES ACTIFS MATÉRIELS</v>
      </c>
    </row>
    <row r="8">
      <c r="A8" s="200" t="s">
        <v>595</v>
      </c>
      <c r="B8" s="188" t="s">
        <v>596</v>
      </c>
      <c r="C8" s="189">
        <v>2.0</v>
      </c>
      <c r="D8" s="201">
        <v>46024.0</v>
      </c>
      <c r="E8" s="202" t="s">
        <v>597</v>
      </c>
      <c r="F8" s="203" t="s">
        <v>598</v>
      </c>
      <c r="G8" s="203" t="s">
        <v>599</v>
      </c>
      <c r="H8" s="204" t="s">
        <v>600</v>
      </c>
      <c r="I8" s="204" t="s">
        <v>271</v>
      </c>
      <c r="J8" s="204" t="s">
        <v>576</v>
      </c>
      <c r="K8" s="18" t="s">
        <v>9</v>
      </c>
      <c r="L8" s="205" t="s">
        <v>601</v>
      </c>
      <c r="M8" s="206" t="s">
        <v>602</v>
      </c>
      <c r="O8" s="198"/>
      <c r="P8" s="198"/>
      <c r="Q8" s="198"/>
      <c r="R8" s="25" t="str">
        <f>IFERROR(__xludf.DUMMYFUNCTION("""COMPUTED_VALUE"""),"02 - INVENTAIRE ET CONTRÔLE DES ACTIFS LOGICIELS")</f>
        <v>02 - INVENTAIRE ET CONTRÔLE DES ACTIFS LOGICIELS</v>
      </c>
    </row>
    <row r="9">
      <c r="A9" s="26"/>
      <c r="B9" s="188" t="s">
        <v>596</v>
      </c>
      <c r="C9" s="189">
        <v>2.0</v>
      </c>
      <c r="D9" s="201">
        <v>46055.0</v>
      </c>
      <c r="E9" s="202" t="s">
        <v>603</v>
      </c>
      <c r="F9" s="203" t="s">
        <v>604</v>
      </c>
      <c r="G9" s="203" t="s">
        <v>605</v>
      </c>
      <c r="H9" s="204" t="s">
        <v>600</v>
      </c>
      <c r="I9" s="204" t="s">
        <v>271</v>
      </c>
      <c r="J9" s="204" t="s">
        <v>576</v>
      </c>
      <c r="K9" s="18" t="s">
        <v>13</v>
      </c>
      <c r="L9" s="197"/>
      <c r="M9" s="207"/>
      <c r="O9" s="198"/>
      <c r="P9" s="198"/>
      <c r="Q9" s="198"/>
      <c r="R9" s="25" t="str">
        <f>IFERROR(__xludf.DUMMYFUNCTION("""COMPUTED_VALUE"""),"02 - INVENTAIRE ET CONTRÔLE DES ACTIFS LOGICIELS")</f>
        <v>02 - INVENTAIRE ET CONTRÔLE DES ACTIFS LOGICIELS</v>
      </c>
    </row>
    <row r="10">
      <c r="A10" s="26"/>
      <c r="B10" s="188" t="s">
        <v>596</v>
      </c>
      <c r="C10" s="189">
        <v>2.0</v>
      </c>
      <c r="D10" s="201">
        <v>46083.0</v>
      </c>
      <c r="E10" s="202" t="s">
        <v>606</v>
      </c>
      <c r="F10" s="203" t="s">
        <v>607</v>
      </c>
      <c r="G10" s="203" t="s">
        <v>608</v>
      </c>
      <c r="H10" s="204" t="s">
        <v>600</v>
      </c>
      <c r="I10" s="204" t="s">
        <v>312</v>
      </c>
      <c r="J10" s="204" t="s">
        <v>576</v>
      </c>
      <c r="K10" s="18" t="s">
        <v>13</v>
      </c>
      <c r="L10" s="197"/>
      <c r="M10" s="197"/>
      <c r="O10" s="198"/>
      <c r="P10" s="198"/>
      <c r="Q10" s="198"/>
      <c r="R10" s="25" t="str">
        <f>IFERROR(__xludf.DUMMYFUNCTION("""COMPUTED_VALUE"""),"02 - INVENTAIRE ET CONTRÔLE DES ACTIFS LOGICIELS")</f>
        <v>02 - INVENTAIRE ET CONTRÔLE DES ACTIFS LOGICIELS</v>
      </c>
    </row>
    <row r="11">
      <c r="A11" s="26"/>
      <c r="B11" s="188" t="s">
        <v>596</v>
      </c>
      <c r="C11" s="189">
        <v>2.0</v>
      </c>
      <c r="D11" s="201">
        <v>46114.0</v>
      </c>
      <c r="E11" s="202" t="s">
        <v>609</v>
      </c>
      <c r="F11" s="203" t="s">
        <v>610</v>
      </c>
      <c r="G11" s="203" t="s">
        <v>611</v>
      </c>
      <c r="H11" s="204" t="s">
        <v>600</v>
      </c>
      <c r="I11" s="204" t="s">
        <v>271</v>
      </c>
      <c r="J11" s="204" t="s">
        <v>587</v>
      </c>
      <c r="K11" s="18" t="s">
        <v>9</v>
      </c>
      <c r="L11" s="197"/>
      <c r="M11" s="197"/>
      <c r="O11" s="198"/>
      <c r="P11" s="198"/>
      <c r="Q11" s="198"/>
      <c r="R11" s="25" t="str">
        <f>IFERROR(__xludf.DUMMYFUNCTION("""COMPUTED_VALUE"""),"02 - INVENTAIRE ET CONTRÔLE DES ACTIFS LOGICIELS")</f>
        <v>02 - INVENTAIRE ET CONTRÔLE DES ACTIFS LOGICIELS</v>
      </c>
    </row>
    <row r="12">
      <c r="A12" s="26"/>
      <c r="B12" s="188" t="s">
        <v>596</v>
      </c>
      <c r="C12" s="189">
        <v>2.0</v>
      </c>
      <c r="D12" s="201">
        <v>46144.0</v>
      </c>
      <c r="E12" s="202" t="s">
        <v>612</v>
      </c>
      <c r="F12" s="203" t="s">
        <v>613</v>
      </c>
      <c r="G12" s="203" t="s">
        <v>614</v>
      </c>
      <c r="H12" s="204" t="s">
        <v>600</v>
      </c>
      <c r="I12" s="204" t="s">
        <v>276</v>
      </c>
      <c r="J12" s="204" t="s">
        <v>587</v>
      </c>
      <c r="K12" s="18" t="s">
        <v>9</v>
      </c>
      <c r="L12" s="197"/>
      <c r="M12" s="197"/>
      <c r="R12" s="25" t="str">
        <f>IFERROR(__xludf.DUMMYFUNCTION("""COMPUTED_VALUE"""),"02 - INVENTAIRE ET CONTRÔLE DES ACTIFS LOGICIELS")</f>
        <v>02 - INVENTAIRE ET CONTRÔLE DES ACTIFS LOGICIELS</v>
      </c>
    </row>
    <row r="13">
      <c r="A13" s="26"/>
      <c r="B13" s="188" t="s">
        <v>596</v>
      </c>
      <c r="C13" s="189">
        <v>2.0</v>
      </c>
      <c r="D13" s="201">
        <v>46175.0</v>
      </c>
      <c r="E13" s="202" t="s">
        <v>615</v>
      </c>
      <c r="F13" s="203" t="s">
        <v>616</v>
      </c>
      <c r="G13" s="203" t="s">
        <v>617</v>
      </c>
      <c r="H13" s="204" t="s">
        <v>600</v>
      </c>
      <c r="I13" s="204" t="s">
        <v>276</v>
      </c>
      <c r="J13" s="208" t="s">
        <v>594</v>
      </c>
      <c r="K13" s="18" t="s">
        <v>13</v>
      </c>
      <c r="L13" s="197"/>
      <c r="M13" s="197"/>
      <c r="R13" s="25" t="str">
        <f>IFERROR(__xludf.DUMMYFUNCTION("""COMPUTED_VALUE"""),"02 - INVENTAIRE ET CONTRÔLE DES ACTIFS LOGICIELS")</f>
        <v>02 - INVENTAIRE ET CONTRÔLE DES ACTIFS LOGICIELS</v>
      </c>
    </row>
    <row r="14" ht="22.5" customHeight="1">
      <c r="A14" s="27"/>
      <c r="B14" s="188" t="s">
        <v>596</v>
      </c>
      <c r="C14" s="189">
        <v>2.0</v>
      </c>
      <c r="D14" s="201">
        <v>46205.0</v>
      </c>
      <c r="E14" s="202" t="s">
        <v>618</v>
      </c>
      <c r="F14" s="203" t="s">
        <v>619</v>
      </c>
      <c r="G14" s="203" t="s">
        <v>620</v>
      </c>
      <c r="H14" s="204" t="s">
        <v>600</v>
      </c>
      <c r="I14" s="204" t="s">
        <v>276</v>
      </c>
      <c r="J14" s="208" t="s">
        <v>594</v>
      </c>
      <c r="K14" s="18" t="s">
        <v>16</v>
      </c>
      <c r="L14" s="197"/>
      <c r="M14" s="197"/>
      <c r="O14" s="209" t="s">
        <v>621</v>
      </c>
      <c r="P14" s="209" t="s">
        <v>223</v>
      </c>
      <c r="Q14" s="210" t="s">
        <v>622</v>
      </c>
      <c r="R14" s="211" t="str">
        <f>IFERROR(__xludf.DUMMYFUNCTION("""COMPUTED_VALUE"""),"02 - INVENTAIRE ET CONTRÔLE DES ACTIFS LOGICIELS")</f>
        <v>02 - INVENTAIRE ET CONTRÔLE DES ACTIFS LOGICIELS</v>
      </c>
    </row>
    <row r="15" ht="22.5" customHeight="1">
      <c r="A15" s="212" t="s">
        <v>623</v>
      </c>
      <c r="B15" s="188" t="s">
        <v>624</v>
      </c>
      <c r="C15" s="189">
        <v>3.0</v>
      </c>
      <c r="D15" s="213">
        <v>46025.0</v>
      </c>
      <c r="E15" s="214" t="s">
        <v>625</v>
      </c>
      <c r="F15" s="215" t="s">
        <v>626</v>
      </c>
      <c r="G15" s="215" t="s">
        <v>627</v>
      </c>
      <c r="H15" s="216" t="s">
        <v>628</v>
      </c>
      <c r="I15" s="216" t="s">
        <v>271</v>
      </c>
      <c r="J15" s="216" t="s">
        <v>576</v>
      </c>
      <c r="K15" s="18" t="s">
        <v>7</v>
      </c>
      <c r="L15" s="206" t="s">
        <v>629</v>
      </c>
      <c r="M15" s="206" t="s">
        <v>630</v>
      </c>
      <c r="O15" s="217" t="s">
        <v>631</v>
      </c>
      <c r="P15" s="218" t="s">
        <v>632</v>
      </c>
      <c r="Q15" s="219" t="s">
        <v>633</v>
      </c>
      <c r="R15" s="211" t="str">
        <f>IFERROR(__xludf.DUMMYFUNCTION("""COMPUTED_VALUE"""),"03 - PROTECTION DES DONNÉES")</f>
        <v>03 - PROTECTION DES DONNÉES</v>
      </c>
    </row>
    <row r="16" ht="22.5" customHeight="1">
      <c r="A16" s="26"/>
      <c r="B16" s="188" t="s">
        <v>624</v>
      </c>
      <c r="C16" s="189">
        <v>3.0</v>
      </c>
      <c r="D16" s="213">
        <v>46056.0</v>
      </c>
      <c r="E16" s="214" t="s">
        <v>634</v>
      </c>
      <c r="F16" s="215" t="s">
        <v>635</v>
      </c>
      <c r="G16" s="215" t="s">
        <v>636</v>
      </c>
      <c r="H16" s="216" t="s">
        <v>628</v>
      </c>
      <c r="I16" s="216" t="s">
        <v>271</v>
      </c>
      <c r="J16" s="216" t="s">
        <v>576</v>
      </c>
      <c r="K16" s="18" t="s">
        <v>9</v>
      </c>
      <c r="L16" s="197"/>
      <c r="M16" s="197"/>
      <c r="O16" s="217" t="s">
        <v>637</v>
      </c>
      <c r="P16" s="218" t="s">
        <v>638</v>
      </c>
      <c r="Q16" s="219" t="s">
        <v>639</v>
      </c>
      <c r="R16" s="211" t="str">
        <f>IFERROR(__xludf.DUMMYFUNCTION("""COMPUTED_VALUE"""),"03 - PROTECTION DES DONNÉES")</f>
        <v>03 - PROTECTION DES DONNÉES</v>
      </c>
      <c r="X16" s="196"/>
      <c r="Y16" s="220"/>
    </row>
    <row r="17" ht="22.5" customHeight="1">
      <c r="A17" s="26"/>
      <c r="B17" s="188" t="s">
        <v>624</v>
      </c>
      <c r="C17" s="189">
        <v>3.0</v>
      </c>
      <c r="D17" s="213">
        <v>46084.0</v>
      </c>
      <c r="E17" s="214" t="s">
        <v>640</v>
      </c>
      <c r="F17" s="215" t="s">
        <v>641</v>
      </c>
      <c r="G17" s="215" t="s">
        <v>642</v>
      </c>
      <c r="H17" s="216" t="s">
        <v>628</v>
      </c>
      <c r="I17" s="216" t="s">
        <v>276</v>
      </c>
      <c r="J17" s="216" t="s">
        <v>576</v>
      </c>
      <c r="K17" s="18" t="s">
        <v>7</v>
      </c>
      <c r="L17" s="197"/>
      <c r="M17" s="197"/>
      <c r="O17" s="217" t="s">
        <v>594</v>
      </c>
      <c r="P17" s="218" t="s">
        <v>643</v>
      </c>
      <c r="Q17" s="219" t="s">
        <v>644</v>
      </c>
      <c r="R17" s="211" t="str">
        <f>IFERROR(__xludf.DUMMYFUNCTION("""COMPUTED_VALUE"""),"03 - PROTECTION DES DONNÉES")</f>
        <v>03 - PROTECTION DES DONNÉES</v>
      </c>
      <c r="X17" s="183"/>
      <c r="Y17" s="221"/>
    </row>
    <row r="18">
      <c r="A18" s="26"/>
      <c r="B18" s="188" t="s">
        <v>624</v>
      </c>
      <c r="C18" s="189">
        <v>3.0</v>
      </c>
      <c r="D18" s="213">
        <v>46115.0</v>
      </c>
      <c r="E18" s="214" t="s">
        <v>645</v>
      </c>
      <c r="F18" s="215" t="s">
        <v>646</v>
      </c>
      <c r="G18" s="215" t="s">
        <v>647</v>
      </c>
      <c r="H18" s="216" t="s">
        <v>628</v>
      </c>
      <c r="I18" s="216" t="s">
        <v>276</v>
      </c>
      <c r="J18" s="216" t="s">
        <v>576</v>
      </c>
      <c r="K18" s="18" t="s">
        <v>11</v>
      </c>
      <c r="L18" s="197"/>
      <c r="M18" s="197"/>
      <c r="O18" s="222"/>
      <c r="R18" s="25" t="str">
        <f>IFERROR(__xludf.DUMMYFUNCTION("""COMPUTED_VALUE"""),"03 - PROTECTION DES DONNÉES")</f>
        <v>03 - PROTECTION DES DONNÉES</v>
      </c>
      <c r="X18" s="183"/>
      <c r="Y18" s="221"/>
    </row>
    <row r="19">
      <c r="A19" s="26"/>
      <c r="B19" s="188" t="s">
        <v>624</v>
      </c>
      <c r="C19" s="189">
        <v>3.0</v>
      </c>
      <c r="D19" s="213">
        <v>46145.0</v>
      </c>
      <c r="E19" s="214" t="s">
        <v>648</v>
      </c>
      <c r="F19" s="215" t="s">
        <v>649</v>
      </c>
      <c r="G19" s="215" t="s">
        <v>650</v>
      </c>
      <c r="H19" s="216" t="s">
        <v>628</v>
      </c>
      <c r="I19" s="216" t="s">
        <v>276</v>
      </c>
      <c r="J19" s="216" t="s">
        <v>576</v>
      </c>
      <c r="K19" s="18" t="s">
        <v>9</v>
      </c>
      <c r="L19" s="197"/>
      <c r="M19" s="197"/>
      <c r="R19" s="25" t="str">
        <f>IFERROR(__xludf.DUMMYFUNCTION("""COMPUTED_VALUE"""),"03 - PROTECTION DES DONNÉES")</f>
        <v>03 - PROTECTION DES DONNÉES</v>
      </c>
      <c r="X19" s="183"/>
      <c r="Y19" s="221"/>
    </row>
    <row r="20" ht="22.5" customHeight="1">
      <c r="A20" s="27"/>
      <c r="B20" s="188" t="s">
        <v>624</v>
      </c>
      <c r="C20" s="189">
        <v>3.0</v>
      </c>
      <c r="D20" s="213">
        <v>46176.0</v>
      </c>
      <c r="E20" s="214" t="s">
        <v>651</v>
      </c>
      <c r="F20" s="215" t="s">
        <v>652</v>
      </c>
      <c r="G20" s="215" t="s">
        <v>653</v>
      </c>
      <c r="H20" s="216" t="s">
        <v>628</v>
      </c>
      <c r="I20" s="216" t="s">
        <v>276</v>
      </c>
      <c r="J20" s="216" t="s">
        <v>576</v>
      </c>
      <c r="K20" s="18" t="s">
        <v>13</v>
      </c>
      <c r="L20" s="197"/>
      <c r="M20" s="197"/>
      <c r="O20" s="209" t="s">
        <v>566</v>
      </c>
      <c r="P20" s="209" t="s">
        <v>654</v>
      </c>
      <c r="Q20" s="209" t="s">
        <v>655</v>
      </c>
      <c r="R20" s="25" t="str">
        <f>IFERROR(__xludf.DUMMYFUNCTION("""COMPUTED_VALUE"""),"03 - PROTECTION DES DONNÉES")</f>
        <v>03 - PROTECTION DES DONNÉES</v>
      </c>
      <c r="X20" s="183"/>
      <c r="Y20" s="221"/>
    </row>
    <row r="21" ht="22.5" customHeight="1">
      <c r="A21" s="223" t="s">
        <v>656</v>
      </c>
      <c r="B21" s="188" t="s">
        <v>657</v>
      </c>
      <c r="C21" s="189">
        <v>4.0</v>
      </c>
      <c r="D21" s="224">
        <v>46026.0</v>
      </c>
      <c r="E21" s="225" t="s">
        <v>658</v>
      </c>
      <c r="F21" s="226" t="s">
        <v>659</v>
      </c>
      <c r="G21" s="226" t="s">
        <v>660</v>
      </c>
      <c r="H21" s="227" t="s">
        <v>661</v>
      </c>
      <c r="I21" s="227" t="s">
        <v>276</v>
      </c>
      <c r="J21" s="227" t="s">
        <v>576</v>
      </c>
      <c r="K21" s="18" t="s">
        <v>9</v>
      </c>
      <c r="L21" s="206" t="s">
        <v>662</v>
      </c>
      <c r="M21" s="206" t="s">
        <v>663</v>
      </c>
      <c r="O21" s="217" t="s">
        <v>576</v>
      </c>
      <c r="P21" s="218" t="s">
        <v>664</v>
      </c>
      <c r="Q21" s="218" t="s">
        <v>665</v>
      </c>
      <c r="R21" s="25" t="str">
        <f>IFERROR(__xludf.DUMMYFUNCTION("""COMPUTED_VALUE"""),"04 - CONFIGURATION SÉCURISÉE DES ACTIFS ET LOGICIELS")</f>
        <v>04 - CONFIGURATION SÉCURISÉE DES ACTIFS ET LOGICIELS</v>
      </c>
      <c r="X21" s="183"/>
      <c r="Y21" s="221"/>
    </row>
    <row r="22" ht="22.5" customHeight="1">
      <c r="A22" s="27"/>
      <c r="B22" s="188" t="s">
        <v>657</v>
      </c>
      <c r="C22" s="189">
        <v>4.0</v>
      </c>
      <c r="D22" s="224">
        <v>46057.0</v>
      </c>
      <c r="E22" s="225" t="s">
        <v>666</v>
      </c>
      <c r="F22" s="226" t="s">
        <v>667</v>
      </c>
      <c r="G22" s="226" t="s">
        <v>668</v>
      </c>
      <c r="H22" s="227" t="s">
        <v>661</v>
      </c>
      <c r="I22" s="227" t="s">
        <v>276</v>
      </c>
      <c r="J22" s="227" t="s">
        <v>576</v>
      </c>
      <c r="K22" s="18" t="s">
        <v>7</v>
      </c>
      <c r="L22" s="197"/>
      <c r="M22" s="197"/>
      <c r="O22" s="217" t="s">
        <v>587</v>
      </c>
      <c r="P22" s="218" t="s">
        <v>669</v>
      </c>
      <c r="Q22" s="218" t="s">
        <v>670</v>
      </c>
      <c r="R22" s="25" t="str">
        <f>IFERROR(__xludf.DUMMYFUNCTION("""COMPUTED_VALUE"""),"04 - CONFIGURATION SÉCURISÉE DES ACTIFS ET LOGICIELS")</f>
        <v>04 - CONFIGURATION SÉCURISÉE DES ACTIFS ET LOGICIELS</v>
      </c>
      <c r="X22" s="183"/>
      <c r="Y22" s="228"/>
    </row>
    <row r="23" ht="22.5" customHeight="1">
      <c r="A23" s="229" t="s">
        <v>671</v>
      </c>
      <c r="B23" s="188" t="s">
        <v>672</v>
      </c>
      <c r="C23" s="189">
        <v>5.0</v>
      </c>
      <c r="D23" s="230">
        <v>46027.0</v>
      </c>
      <c r="E23" s="231" t="s">
        <v>673</v>
      </c>
      <c r="F23" s="232" t="s">
        <v>674</v>
      </c>
      <c r="G23" s="232" t="s">
        <v>675</v>
      </c>
      <c r="H23" s="233" t="s">
        <v>676</v>
      </c>
      <c r="I23" s="233" t="s">
        <v>271</v>
      </c>
      <c r="J23" s="233" t="s">
        <v>576</v>
      </c>
      <c r="K23" s="18" t="s">
        <v>11</v>
      </c>
      <c r="L23" s="206" t="s">
        <v>677</v>
      </c>
      <c r="M23" s="206" t="s">
        <v>678</v>
      </c>
      <c r="O23" s="217" t="s">
        <v>594</v>
      </c>
      <c r="P23" s="218" t="s">
        <v>679</v>
      </c>
      <c r="Q23" s="218" t="s">
        <v>680</v>
      </c>
      <c r="R23" s="25" t="str">
        <f>IFERROR(__xludf.DUMMYFUNCTION("""COMPUTED_VALUE"""),"05 - GESTION DES COMPTES")</f>
        <v>05 - GESTION DES COMPTES</v>
      </c>
    </row>
    <row r="24">
      <c r="A24" s="26"/>
      <c r="B24" s="188" t="s">
        <v>672</v>
      </c>
      <c r="C24" s="189">
        <v>5.0</v>
      </c>
      <c r="D24" s="230">
        <v>46058.0</v>
      </c>
      <c r="E24" s="231" t="s">
        <v>681</v>
      </c>
      <c r="F24" s="232" t="s">
        <v>682</v>
      </c>
      <c r="G24" s="232" t="s">
        <v>683</v>
      </c>
      <c r="H24" s="233" t="s">
        <v>676</v>
      </c>
      <c r="I24" s="233" t="s">
        <v>276</v>
      </c>
      <c r="J24" s="233" t="s">
        <v>576</v>
      </c>
      <c r="K24" s="18" t="s">
        <v>11</v>
      </c>
      <c r="L24" s="197"/>
      <c r="M24" s="197"/>
      <c r="R24" s="25" t="str">
        <f>IFERROR(__xludf.DUMMYFUNCTION("""COMPUTED_VALUE"""),"05 - GESTION DES COMPTES")</f>
        <v>05 - GESTION DES COMPTES</v>
      </c>
    </row>
    <row r="25">
      <c r="A25" s="26"/>
      <c r="B25" s="188" t="s">
        <v>672</v>
      </c>
      <c r="C25" s="189">
        <v>5.0</v>
      </c>
      <c r="D25" s="230">
        <v>46086.0</v>
      </c>
      <c r="E25" s="231" t="s">
        <v>684</v>
      </c>
      <c r="F25" s="232" t="s">
        <v>685</v>
      </c>
      <c r="G25" s="232" t="s">
        <v>686</v>
      </c>
      <c r="H25" s="233" t="s">
        <v>676</v>
      </c>
      <c r="I25" s="233" t="s">
        <v>276</v>
      </c>
      <c r="J25" s="233" t="s">
        <v>576</v>
      </c>
      <c r="K25" s="18" t="s">
        <v>7</v>
      </c>
      <c r="L25" s="197"/>
      <c r="M25" s="197"/>
      <c r="R25" s="25" t="str">
        <f>IFERROR(__xludf.DUMMYFUNCTION("""COMPUTED_VALUE"""),"05 - GESTION DES COMPTES")</f>
        <v>05 - GESTION DES COMPTES</v>
      </c>
    </row>
    <row r="26">
      <c r="A26" s="27"/>
      <c r="B26" s="188" t="s">
        <v>672</v>
      </c>
      <c r="C26" s="189">
        <v>5.0</v>
      </c>
      <c r="D26" s="230">
        <v>46117.0</v>
      </c>
      <c r="E26" s="231" t="s">
        <v>687</v>
      </c>
      <c r="F26" s="232" t="s">
        <v>688</v>
      </c>
      <c r="G26" s="232" t="s">
        <v>689</v>
      </c>
      <c r="H26" s="233" t="s">
        <v>676</v>
      </c>
      <c r="I26" s="233" t="s">
        <v>276</v>
      </c>
      <c r="J26" s="233" t="s">
        <v>576</v>
      </c>
      <c r="K26" s="18" t="s">
        <v>5</v>
      </c>
      <c r="L26" s="197"/>
      <c r="M26" s="197"/>
      <c r="R26" s="25" t="str">
        <f>IFERROR(__xludf.DUMMYFUNCTION("""COMPUTED_VALUE"""),"05 - GESTION DES COMPTES")</f>
        <v>05 - GESTION DES COMPTES</v>
      </c>
    </row>
    <row r="27">
      <c r="A27" s="234" t="s">
        <v>690</v>
      </c>
      <c r="B27" s="188" t="s">
        <v>691</v>
      </c>
      <c r="C27" s="189">
        <v>6.0</v>
      </c>
      <c r="D27" s="235">
        <v>46028.0</v>
      </c>
      <c r="E27" s="236" t="s">
        <v>692</v>
      </c>
      <c r="F27" s="237" t="s">
        <v>693</v>
      </c>
      <c r="G27" s="237" t="s">
        <v>694</v>
      </c>
      <c r="H27" s="238" t="s">
        <v>695</v>
      </c>
      <c r="I27" s="238" t="s">
        <v>276</v>
      </c>
      <c r="J27" s="238" t="s">
        <v>576</v>
      </c>
      <c r="K27" s="18" t="s">
        <v>7</v>
      </c>
      <c r="L27" s="206" t="s">
        <v>696</v>
      </c>
      <c r="M27" s="239" t="s">
        <v>697</v>
      </c>
      <c r="R27" s="25" t="str">
        <f>IFERROR(__xludf.DUMMYFUNCTION("""COMPUTED_VALUE"""),"06 - GESTION DU CONTRÔLE D'ACCÈS")</f>
        <v>06 - GESTION DU CONTRÔLE D'ACCÈS</v>
      </c>
    </row>
    <row r="28">
      <c r="A28" s="26"/>
      <c r="B28" s="188" t="s">
        <v>691</v>
      </c>
      <c r="C28" s="189">
        <v>6.0</v>
      </c>
      <c r="D28" s="235">
        <v>46059.0</v>
      </c>
      <c r="E28" s="236" t="s">
        <v>698</v>
      </c>
      <c r="F28" s="237" t="s">
        <v>699</v>
      </c>
      <c r="G28" s="237" t="s">
        <v>700</v>
      </c>
      <c r="H28" s="238" t="s">
        <v>695</v>
      </c>
      <c r="I28" s="238" t="s">
        <v>276</v>
      </c>
      <c r="J28" s="238" t="s">
        <v>576</v>
      </c>
      <c r="K28" s="18" t="s">
        <v>9</v>
      </c>
      <c r="L28" s="197"/>
      <c r="M28" s="197"/>
      <c r="R28" s="25" t="str">
        <f>IFERROR(__xludf.DUMMYFUNCTION("""COMPUTED_VALUE"""),"06 - GESTION DU CONTRÔLE D'ACCÈS")</f>
        <v>06 - GESTION DU CONTRÔLE D'ACCÈS</v>
      </c>
    </row>
    <row r="29">
      <c r="A29" s="27"/>
      <c r="B29" s="188" t="s">
        <v>691</v>
      </c>
      <c r="C29" s="189">
        <v>6.0</v>
      </c>
      <c r="D29" s="235">
        <v>46087.0</v>
      </c>
      <c r="E29" s="236" t="s">
        <v>701</v>
      </c>
      <c r="F29" s="237" t="s">
        <v>702</v>
      </c>
      <c r="G29" s="237" t="s">
        <v>703</v>
      </c>
      <c r="H29" s="238" t="s">
        <v>695</v>
      </c>
      <c r="I29" s="238" t="s">
        <v>276</v>
      </c>
      <c r="J29" s="238" t="s">
        <v>576</v>
      </c>
      <c r="K29" s="18" t="s">
        <v>5</v>
      </c>
      <c r="L29" s="197"/>
      <c r="M29" s="197"/>
      <c r="R29" s="25" t="str">
        <f>IFERROR(__xludf.DUMMYFUNCTION("""COMPUTED_VALUE"""),"06 - GESTION DU CONTRÔLE D'ACCÈS")</f>
        <v>06 - GESTION DU CONTRÔLE D'ACCÈS</v>
      </c>
    </row>
    <row r="30">
      <c r="A30" s="240" t="s">
        <v>704</v>
      </c>
      <c r="B30" s="188" t="s">
        <v>705</v>
      </c>
      <c r="C30" s="189">
        <v>7.0</v>
      </c>
      <c r="D30" s="241">
        <v>46029.0</v>
      </c>
      <c r="E30" s="242" t="s">
        <v>706</v>
      </c>
      <c r="F30" s="243" t="s">
        <v>707</v>
      </c>
      <c r="G30" s="243" t="s">
        <v>708</v>
      </c>
      <c r="H30" s="244" t="s">
        <v>709</v>
      </c>
      <c r="I30" s="244" t="s">
        <v>271</v>
      </c>
      <c r="J30" s="244" t="s">
        <v>576</v>
      </c>
      <c r="K30" s="18" t="s">
        <v>9</v>
      </c>
      <c r="L30" s="206" t="s">
        <v>710</v>
      </c>
      <c r="M30" s="206" t="s">
        <v>711</v>
      </c>
      <c r="R30" s="25" t="str">
        <f>IFERROR(__xludf.DUMMYFUNCTION("""COMPUTED_VALUE"""),"07 - GESTION CONTINUE DES VULNÉRABILITÉS")</f>
        <v>07 - GESTION CONTINUE DES VULNÉRABILITÉS</v>
      </c>
    </row>
    <row r="31">
      <c r="A31" s="26"/>
      <c r="B31" s="188" t="s">
        <v>705</v>
      </c>
      <c r="C31" s="189">
        <v>7.0</v>
      </c>
      <c r="D31" s="241">
        <v>46060.0</v>
      </c>
      <c r="E31" s="242" t="s">
        <v>712</v>
      </c>
      <c r="F31" s="243" t="s">
        <v>713</v>
      </c>
      <c r="G31" s="243" t="s">
        <v>714</v>
      </c>
      <c r="H31" s="244" t="s">
        <v>709</v>
      </c>
      <c r="I31" s="244" t="s">
        <v>312</v>
      </c>
      <c r="J31" s="244" t="s">
        <v>576</v>
      </c>
      <c r="K31" s="18" t="s">
        <v>5</v>
      </c>
      <c r="L31" s="197"/>
      <c r="M31" s="197"/>
      <c r="R31" s="25" t="str">
        <f>IFERROR(__xludf.DUMMYFUNCTION("""COMPUTED_VALUE"""),"07 - GESTION CONTINUE DES VULNÉRABILITÉS")</f>
        <v>07 - GESTION CONTINUE DES VULNÉRABILITÉS</v>
      </c>
    </row>
    <row r="32">
      <c r="A32" s="26"/>
      <c r="B32" s="188" t="s">
        <v>705</v>
      </c>
      <c r="C32" s="189">
        <v>7.0</v>
      </c>
      <c r="D32" s="241">
        <v>46088.0</v>
      </c>
      <c r="E32" s="242" t="s">
        <v>715</v>
      </c>
      <c r="F32" s="243" t="s">
        <v>716</v>
      </c>
      <c r="G32" s="243" t="s">
        <v>717</v>
      </c>
      <c r="H32" s="244" t="s">
        <v>709</v>
      </c>
      <c r="I32" s="244" t="s">
        <v>271</v>
      </c>
      <c r="J32" s="244" t="s">
        <v>587</v>
      </c>
      <c r="K32" s="18" t="s">
        <v>16</v>
      </c>
      <c r="L32" s="197"/>
      <c r="M32" s="197"/>
      <c r="R32" s="25" t="str">
        <f>IFERROR(__xludf.DUMMYFUNCTION("""COMPUTED_VALUE"""),"07 - GESTION CONTINUE DES VULNÉRABILITÉS")</f>
        <v>07 - GESTION CONTINUE DES VULNÉRABILITÉS</v>
      </c>
    </row>
    <row r="33">
      <c r="A33" s="27"/>
      <c r="B33" s="188" t="s">
        <v>705</v>
      </c>
      <c r="C33" s="189">
        <v>7.0</v>
      </c>
      <c r="D33" s="241">
        <v>46119.0</v>
      </c>
      <c r="E33" s="242" t="s">
        <v>718</v>
      </c>
      <c r="F33" s="243" t="s">
        <v>719</v>
      </c>
      <c r="G33" s="243" t="s">
        <v>720</v>
      </c>
      <c r="H33" s="244" t="s">
        <v>709</v>
      </c>
      <c r="I33" s="244" t="s">
        <v>312</v>
      </c>
      <c r="J33" s="244" t="s">
        <v>587</v>
      </c>
      <c r="K33" s="18" t="s">
        <v>13</v>
      </c>
      <c r="L33" s="197"/>
      <c r="M33" s="197"/>
      <c r="R33" s="25" t="str">
        <f>IFERROR(__xludf.DUMMYFUNCTION("""COMPUTED_VALUE"""),"07 - GESTION CONTINUE DES VULNÉRABILITÉS")</f>
        <v>07 - GESTION CONTINUE DES VULNÉRABILITÉS</v>
      </c>
    </row>
    <row r="34">
      <c r="A34" s="245" t="s">
        <v>721</v>
      </c>
      <c r="B34" s="188" t="s">
        <v>722</v>
      </c>
      <c r="C34" s="189">
        <v>8.0</v>
      </c>
      <c r="D34" s="246">
        <v>46030.0</v>
      </c>
      <c r="E34" s="247" t="s">
        <v>723</v>
      </c>
      <c r="F34" s="248" t="s">
        <v>724</v>
      </c>
      <c r="G34" s="248" t="s">
        <v>725</v>
      </c>
      <c r="H34" s="249" t="s">
        <v>726</v>
      </c>
      <c r="I34" s="249" t="s">
        <v>276</v>
      </c>
      <c r="J34" s="249" t="s">
        <v>576</v>
      </c>
      <c r="K34" s="18" t="s">
        <v>7</v>
      </c>
      <c r="L34" s="206" t="s">
        <v>727</v>
      </c>
      <c r="M34" s="239" t="s">
        <v>728</v>
      </c>
      <c r="R34" s="25" t="str">
        <f>IFERROR(__xludf.DUMMYFUNCTION("""COMPUTED_VALUE"""),"08 - GESTION DES JOURNAUX D'AUDIT")</f>
        <v>08 - GESTION DES JOURNAUX D'AUDIT</v>
      </c>
    </row>
    <row r="35">
      <c r="A35" s="26"/>
      <c r="B35" s="188" t="s">
        <v>722</v>
      </c>
      <c r="C35" s="189">
        <v>8.0</v>
      </c>
      <c r="D35" s="246">
        <v>46061.0</v>
      </c>
      <c r="E35" s="247" t="s">
        <v>729</v>
      </c>
      <c r="F35" s="248" t="s">
        <v>730</v>
      </c>
      <c r="G35" s="248" t="s">
        <v>731</v>
      </c>
      <c r="H35" s="249" t="s">
        <v>726</v>
      </c>
      <c r="I35" s="249" t="s">
        <v>276</v>
      </c>
      <c r="J35" s="249" t="s">
        <v>576</v>
      </c>
      <c r="K35" s="18" t="s">
        <v>9</v>
      </c>
      <c r="L35" s="197"/>
      <c r="M35" s="197"/>
      <c r="R35" s="25" t="str">
        <f>IFERROR(__xludf.DUMMYFUNCTION("""COMPUTED_VALUE"""),"08 - GESTION DES JOURNAUX D'AUDIT")</f>
        <v>08 - GESTION DES JOURNAUX D'AUDIT</v>
      </c>
    </row>
    <row r="36">
      <c r="A36" s="27"/>
      <c r="B36" s="188" t="s">
        <v>722</v>
      </c>
      <c r="C36" s="189">
        <v>8.0</v>
      </c>
      <c r="D36" s="246">
        <v>46089.0</v>
      </c>
      <c r="E36" s="247" t="s">
        <v>732</v>
      </c>
      <c r="F36" s="248" t="s">
        <v>733</v>
      </c>
      <c r="G36" s="248" t="s">
        <v>734</v>
      </c>
      <c r="H36" s="249" t="s">
        <v>726</v>
      </c>
      <c r="I36" s="249" t="s">
        <v>276</v>
      </c>
      <c r="J36" s="249" t="s">
        <v>576</v>
      </c>
      <c r="K36" s="18" t="s">
        <v>13</v>
      </c>
      <c r="L36" s="197"/>
      <c r="M36" s="197"/>
      <c r="R36" s="25" t="str">
        <f>IFERROR(__xludf.DUMMYFUNCTION("""COMPUTED_VALUE"""),"08 - GESTION DES JOURNAUX D'AUDIT")</f>
        <v>08 - GESTION DES JOURNAUX D'AUDIT</v>
      </c>
    </row>
    <row r="37">
      <c r="A37" s="250" t="s">
        <v>735</v>
      </c>
      <c r="B37" s="188" t="s">
        <v>736</v>
      </c>
      <c r="C37" s="189">
        <v>9.0</v>
      </c>
      <c r="D37" s="251">
        <v>46031.0</v>
      </c>
      <c r="E37" s="252" t="s">
        <v>737</v>
      </c>
      <c r="F37" s="253" t="s">
        <v>738</v>
      </c>
      <c r="G37" s="253" t="s">
        <v>739</v>
      </c>
      <c r="H37" s="254" t="s">
        <v>740</v>
      </c>
      <c r="I37" s="254" t="s">
        <v>276</v>
      </c>
      <c r="J37" s="254" t="s">
        <v>576</v>
      </c>
      <c r="K37" s="18" t="s">
        <v>13</v>
      </c>
      <c r="L37" s="239" t="s">
        <v>741</v>
      </c>
      <c r="M37" s="239" t="s">
        <v>742</v>
      </c>
      <c r="R37" s="25" t="str">
        <f>IFERROR(__xludf.DUMMYFUNCTION("""COMPUTED_VALUE"""),"09 - PROTECTIONS DE LA MESSAGERIE ET DU NAVIGATEUR WEB")</f>
        <v>09 - PROTECTIONS DE LA MESSAGERIE ET DU NAVIGATEUR WEB</v>
      </c>
    </row>
    <row r="38">
      <c r="A38" s="27"/>
      <c r="B38" s="188" t="s">
        <v>736</v>
      </c>
      <c r="C38" s="189">
        <v>9.0</v>
      </c>
      <c r="D38" s="251">
        <v>46062.0</v>
      </c>
      <c r="E38" s="252" t="s">
        <v>743</v>
      </c>
      <c r="F38" s="253" t="s">
        <v>744</v>
      </c>
      <c r="G38" s="253" t="s">
        <v>745</v>
      </c>
      <c r="H38" s="254" t="s">
        <v>740</v>
      </c>
      <c r="I38" s="254" t="s">
        <v>276</v>
      </c>
      <c r="J38" s="254" t="s">
        <v>576</v>
      </c>
      <c r="K38" s="18" t="s">
        <v>7</v>
      </c>
      <c r="L38" s="197"/>
      <c r="M38" s="197"/>
      <c r="R38" s="25" t="str">
        <f>IFERROR(__xludf.DUMMYFUNCTION("""COMPUTED_VALUE"""),"09 - PROTECTIONS DE LA MESSAGERIE ET DU NAVIGATEUR WEB")</f>
        <v>09 - PROTECTIONS DE LA MESSAGERIE ET DU NAVIGATEUR WEB</v>
      </c>
    </row>
    <row r="39">
      <c r="A39" s="255" t="s">
        <v>746</v>
      </c>
      <c r="B39" s="188" t="s">
        <v>747</v>
      </c>
      <c r="C39" s="189">
        <v>10.0</v>
      </c>
      <c r="D39" s="256">
        <v>46032.0</v>
      </c>
      <c r="E39" s="257" t="s">
        <v>748</v>
      </c>
      <c r="F39" s="258" t="s">
        <v>749</v>
      </c>
      <c r="G39" s="258" t="s">
        <v>750</v>
      </c>
      <c r="H39" s="259" t="s">
        <v>751</v>
      </c>
      <c r="I39" s="259" t="s">
        <v>276</v>
      </c>
      <c r="J39" s="259" t="s">
        <v>576</v>
      </c>
      <c r="K39" s="18" t="s">
        <v>11</v>
      </c>
      <c r="L39" s="239" t="s">
        <v>752</v>
      </c>
      <c r="M39" s="239" t="s">
        <v>753</v>
      </c>
      <c r="R39" s="25" t="str">
        <f>IFERROR(__xludf.DUMMYFUNCTION("""COMPUTED_VALUE"""),"10 - DÉFENSES CONTRE LES LOGICIELS MALVEILLANTS")</f>
        <v>10 - DÉFENSES CONTRE LES LOGICIELS MALVEILLANTS</v>
      </c>
    </row>
    <row r="40">
      <c r="A40" s="26"/>
      <c r="B40" s="188" t="s">
        <v>747</v>
      </c>
      <c r="C40" s="189">
        <v>10.0</v>
      </c>
      <c r="D40" s="256">
        <v>46063.0</v>
      </c>
      <c r="E40" s="257" t="s">
        <v>754</v>
      </c>
      <c r="F40" s="258" t="s">
        <v>755</v>
      </c>
      <c r="G40" s="258" t="s">
        <v>756</v>
      </c>
      <c r="H40" s="259" t="s">
        <v>751</v>
      </c>
      <c r="I40" s="259" t="s">
        <v>276</v>
      </c>
      <c r="J40" s="259" t="s">
        <v>576</v>
      </c>
      <c r="K40" s="18" t="s">
        <v>13</v>
      </c>
      <c r="L40" s="197"/>
      <c r="M40" s="197"/>
      <c r="R40" s="25" t="str">
        <f>IFERROR(__xludf.DUMMYFUNCTION("""COMPUTED_VALUE"""),"10 - DÉFENSES CONTRE LES LOGICIELS MALVEILLANTS")</f>
        <v>10 - DÉFENSES CONTRE LES LOGICIELS MALVEILLANTS</v>
      </c>
    </row>
    <row r="41">
      <c r="A41" s="27"/>
      <c r="B41" s="188" t="s">
        <v>747</v>
      </c>
      <c r="C41" s="189">
        <v>10.0</v>
      </c>
      <c r="D41" s="256">
        <v>46091.0</v>
      </c>
      <c r="E41" s="257" t="s">
        <v>757</v>
      </c>
      <c r="F41" s="258" t="s">
        <v>758</v>
      </c>
      <c r="G41" s="258" t="s">
        <v>759</v>
      </c>
      <c r="H41" s="259" t="s">
        <v>751</v>
      </c>
      <c r="I41" s="259" t="s">
        <v>276</v>
      </c>
      <c r="J41" s="259" t="s">
        <v>576</v>
      </c>
      <c r="K41" s="18" t="s">
        <v>9</v>
      </c>
      <c r="L41" s="197"/>
      <c r="M41" s="197"/>
      <c r="R41" s="25" t="str">
        <f>IFERROR(__xludf.DUMMYFUNCTION("""COMPUTED_VALUE"""),"10 - DÉFENSES CONTRE LES LOGICIELS MALVEILLANTS")</f>
        <v>10 - DÉFENSES CONTRE LES LOGICIELS MALVEILLANTS</v>
      </c>
    </row>
    <row r="42">
      <c r="A42" s="260" t="s">
        <v>760</v>
      </c>
      <c r="B42" s="188" t="s">
        <v>761</v>
      </c>
      <c r="C42" s="189">
        <v>11.0</v>
      </c>
      <c r="D42" s="261">
        <v>46033.0</v>
      </c>
      <c r="E42" s="262" t="s">
        <v>762</v>
      </c>
      <c r="F42" s="263" t="s">
        <v>763</v>
      </c>
      <c r="G42" s="263" t="s">
        <v>764</v>
      </c>
      <c r="H42" s="264" t="s">
        <v>765</v>
      </c>
      <c r="I42" s="265" t="s">
        <v>766</v>
      </c>
      <c r="J42" s="264" t="s">
        <v>576</v>
      </c>
      <c r="K42" s="18" t="s">
        <v>7</v>
      </c>
      <c r="L42" s="239" t="s">
        <v>767</v>
      </c>
      <c r="M42" s="239" t="s">
        <v>768</v>
      </c>
      <c r="R42" s="25" t="str">
        <f>IFERROR(__xludf.DUMMYFUNCTION("""COMPUTED_VALUE"""),"11 - RESTAURATION DES DONNÉES")</f>
        <v>11 - RESTAURATION DES DONNÉES</v>
      </c>
    </row>
    <row r="43">
      <c r="A43" s="26"/>
      <c r="B43" s="188" t="s">
        <v>761</v>
      </c>
      <c r="C43" s="189">
        <v>11.0</v>
      </c>
      <c r="D43" s="261">
        <v>46064.0</v>
      </c>
      <c r="E43" s="262" t="s">
        <v>769</v>
      </c>
      <c r="F43" s="263" t="s">
        <v>770</v>
      </c>
      <c r="G43" s="263" t="s">
        <v>771</v>
      </c>
      <c r="H43" s="264" t="s">
        <v>765</v>
      </c>
      <c r="I43" s="264" t="s">
        <v>276</v>
      </c>
      <c r="J43" s="264" t="s">
        <v>576</v>
      </c>
      <c r="K43" s="18" t="s">
        <v>9</v>
      </c>
      <c r="L43" s="197"/>
      <c r="M43" s="197"/>
      <c r="R43" s="25" t="str">
        <f>IFERROR(__xludf.DUMMYFUNCTION("""COMPUTED_VALUE"""),"11 - RESTAURATION DES DONNÉES")</f>
        <v>11 - RESTAURATION DES DONNÉES</v>
      </c>
    </row>
    <row r="44">
      <c r="A44" s="26"/>
      <c r="B44" s="188" t="s">
        <v>761</v>
      </c>
      <c r="C44" s="189">
        <v>11.0</v>
      </c>
      <c r="D44" s="261">
        <v>46092.0</v>
      </c>
      <c r="E44" s="262" t="s">
        <v>772</v>
      </c>
      <c r="F44" s="263" t="s">
        <v>773</v>
      </c>
      <c r="G44" s="263" t="s">
        <v>774</v>
      </c>
      <c r="H44" s="264" t="s">
        <v>765</v>
      </c>
      <c r="I44" s="264" t="s">
        <v>276</v>
      </c>
      <c r="J44" s="264" t="s">
        <v>576</v>
      </c>
      <c r="K44" s="18" t="s">
        <v>9</v>
      </c>
      <c r="L44" s="197"/>
      <c r="M44" s="197"/>
      <c r="R44" s="25" t="str">
        <f>IFERROR(__xludf.DUMMYFUNCTION("""COMPUTED_VALUE"""),"11 - RESTAURATION DES DONNÉES")</f>
        <v>11 - RESTAURATION DES DONNÉES</v>
      </c>
    </row>
    <row r="45">
      <c r="A45" s="26"/>
      <c r="B45" s="188" t="s">
        <v>761</v>
      </c>
      <c r="C45" s="189">
        <v>11.0</v>
      </c>
      <c r="D45" s="261">
        <v>46123.0</v>
      </c>
      <c r="E45" s="262" t="s">
        <v>775</v>
      </c>
      <c r="F45" s="263" t="s">
        <v>776</v>
      </c>
      <c r="G45" s="263" t="s">
        <v>777</v>
      </c>
      <c r="H45" s="264" t="s">
        <v>765</v>
      </c>
      <c r="I45" s="264" t="s">
        <v>276</v>
      </c>
      <c r="J45" s="264" t="s">
        <v>576</v>
      </c>
      <c r="K45" s="18" t="s">
        <v>9</v>
      </c>
      <c r="L45" s="197"/>
      <c r="M45" s="197"/>
      <c r="R45" s="25" t="str">
        <f>IFERROR(__xludf.DUMMYFUNCTION("""COMPUTED_VALUE"""),"11 - RESTAURATION DES DONNÉES")</f>
        <v>11 - RESTAURATION DES DONNÉES</v>
      </c>
    </row>
    <row r="46">
      <c r="A46" s="27"/>
      <c r="B46" s="188" t="s">
        <v>761</v>
      </c>
      <c r="C46" s="189">
        <v>11.0</v>
      </c>
      <c r="D46" s="261">
        <v>46153.0</v>
      </c>
      <c r="E46" s="262" t="s">
        <v>778</v>
      </c>
      <c r="F46" s="263" t="s">
        <v>779</v>
      </c>
      <c r="G46" s="263" t="s">
        <v>780</v>
      </c>
      <c r="H46" s="264" t="s">
        <v>765</v>
      </c>
      <c r="I46" s="265" t="s">
        <v>766</v>
      </c>
      <c r="J46" s="264" t="s">
        <v>587</v>
      </c>
      <c r="K46" s="18" t="s">
        <v>9</v>
      </c>
      <c r="L46" s="197"/>
      <c r="M46" s="197"/>
      <c r="R46" s="25" t="str">
        <f>IFERROR(__xludf.DUMMYFUNCTION("""COMPUTED_VALUE"""),"11 - RESTAURATION DES DONNÉES")</f>
        <v>11 - RESTAURATION DES DONNÉES</v>
      </c>
    </row>
    <row r="47">
      <c r="A47" s="266" t="s">
        <v>781</v>
      </c>
      <c r="B47" s="188" t="s">
        <v>782</v>
      </c>
      <c r="C47" s="189">
        <v>12.0</v>
      </c>
      <c r="D47" s="267">
        <v>46034.0</v>
      </c>
      <c r="E47" s="268" t="s">
        <v>783</v>
      </c>
      <c r="F47" s="269" t="s">
        <v>784</v>
      </c>
      <c r="G47" s="269" t="s">
        <v>785</v>
      </c>
      <c r="H47" s="270" t="s">
        <v>786</v>
      </c>
      <c r="I47" s="270" t="s">
        <v>276</v>
      </c>
      <c r="J47" s="270" t="s">
        <v>576</v>
      </c>
      <c r="K47" s="18" t="s">
        <v>9</v>
      </c>
      <c r="L47" s="239" t="s">
        <v>787</v>
      </c>
      <c r="M47" s="239" t="s">
        <v>788</v>
      </c>
      <c r="R47" s="25" t="str">
        <f>IFERROR(__xludf.DUMMYFUNCTION("""COMPUTED_VALUE"""),"12 - GESTION DE L'INFRASTRUCTURE RÉSEAU")</f>
        <v>12 - GESTION DE L'INFRASTRUCTURE RÉSEAU</v>
      </c>
    </row>
    <row r="48">
      <c r="A48" s="27"/>
      <c r="B48" s="188" t="s">
        <v>782</v>
      </c>
      <c r="C48" s="189">
        <v>12.0</v>
      </c>
      <c r="D48" s="267">
        <v>46065.0</v>
      </c>
      <c r="E48" s="268" t="s">
        <v>789</v>
      </c>
      <c r="F48" s="269" t="s">
        <v>790</v>
      </c>
      <c r="G48" s="269" t="s">
        <v>791</v>
      </c>
      <c r="H48" s="270" t="s">
        <v>786</v>
      </c>
      <c r="I48" s="270" t="s">
        <v>276</v>
      </c>
      <c r="J48" s="270" t="s">
        <v>576</v>
      </c>
      <c r="K48" s="18" t="s">
        <v>9</v>
      </c>
      <c r="L48" s="197"/>
      <c r="M48" s="197"/>
      <c r="R48" s="25" t="str">
        <f>IFERROR(__xludf.DUMMYFUNCTION("""COMPUTED_VALUE"""),"12 - GESTION DE L'INFRASTRUCTURE RÉSEAU")</f>
        <v>12 - GESTION DE L'INFRASTRUCTURE RÉSEAU</v>
      </c>
    </row>
    <row r="49">
      <c r="A49" s="271" t="s">
        <v>792</v>
      </c>
      <c r="B49" s="188" t="s">
        <v>793</v>
      </c>
      <c r="C49" s="189">
        <v>13.0</v>
      </c>
      <c r="D49" s="272">
        <v>46035.0</v>
      </c>
      <c r="E49" s="273" t="s">
        <v>794</v>
      </c>
      <c r="F49" s="274" t="s">
        <v>795</v>
      </c>
      <c r="G49" s="274" t="s">
        <v>796</v>
      </c>
      <c r="H49" s="275" t="s">
        <v>797</v>
      </c>
      <c r="I49" s="275" t="s">
        <v>287</v>
      </c>
      <c r="J49" s="275" t="s">
        <v>576</v>
      </c>
      <c r="K49" s="18" t="s">
        <v>5</v>
      </c>
      <c r="L49" s="239" t="s">
        <v>798</v>
      </c>
      <c r="M49" s="239" t="s">
        <v>799</v>
      </c>
      <c r="R49" s="25" t="str">
        <f>IFERROR(__xludf.DUMMYFUNCTION("""COMPUTED_VALUE"""),"13 - SURVEILLANCE ET DÉFENSE DU RÉSEAU")</f>
        <v>13 - SURVEILLANCE ET DÉFENSE DU RÉSEAU</v>
      </c>
    </row>
    <row r="50">
      <c r="A50" s="27"/>
      <c r="B50" s="188" t="s">
        <v>793</v>
      </c>
      <c r="C50" s="189">
        <v>13.0</v>
      </c>
      <c r="D50" s="272">
        <v>46066.0</v>
      </c>
      <c r="E50" s="273" t="s">
        <v>800</v>
      </c>
      <c r="F50" s="274" t="s">
        <v>801</v>
      </c>
      <c r="G50" s="274" t="s">
        <v>802</v>
      </c>
      <c r="H50" s="275" t="s">
        <v>797</v>
      </c>
      <c r="I50" s="275" t="s">
        <v>287</v>
      </c>
      <c r="J50" s="275" t="s">
        <v>587</v>
      </c>
      <c r="K50" s="18" t="s">
        <v>9</v>
      </c>
      <c r="L50" s="197"/>
      <c r="M50" s="197"/>
      <c r="R50" s="25" t="str">
        <f>IFERROR(__xludf.DUMMYFUNCTION("""COMPUTED_VALUE"""),"13 - SURVEILLANCE ET DÉFENSE DU RÉSEAU")</f>
        <v>13 - SURVEILLANCE ET DÉFENSE DU RÉSEAU</v>
      </c>
    </row>
    <row r="51">
      <c r="A51" s="276" t="s">
        <v>803</v>
      </c>
      <c r="B51" s="188" t="s">
        <v>804</v>
      </c>
      <c r="C51" s="189">
        <v>14.0</v>
      </c>
      <c r="D51" s="277">
        <v>46036.0</v>
      </c>
      <c r="E51" s="278" t="s">
        <v>805</v>
      </c>
      <c r="F51" s="279" t="s">
        <v>806</v>
      </c>
      <c r="G51" s="279" t="s">
        <v>807</v>
      </c>
      <c r="H51" s="280" t="s">
        <v>808</v>
      </c>
      <c r="I51" s="280" t="s">
        <v>276</v>
      </c>
      <c r="J51" s="280" t="s">
        <v>576</v>
      </c>
      <c r="K51" s="18" t="s">
        <v>5</v>
      </c>
      <c r="L51" s="197"/>
      <c r="M51" s="197"/>
      <c r="R51" s="25" t="str">
        <f>IFERROR(__xludf.DUMMYFUNCTION("""COMPUTED_VALUE"""),"14 - SENSIBILISATION ET FORMATION À LA SÉCURITÉ")</f>
        <v>14 - SENSIBILISATION ET FORMATION À LA SÉCURITÉ</v>
      </c>
    </row>
    <row r="52">
      <c r="A52" s="27"/>
      <c r="B52" s="188" t="s">
        <v>804</v>
      </c>
      <c r="C52" s="189">
        <v>14.0</v>
      </c>
      <c r="D52" s="277">
        <v>46067.0</v>
      </c>
      <c r="E52" s="278" t="s">
        <v>809</v>
      </c>
      <c r="F52" s="279" t="s">
        <v>810</v>
      </c>
      <c r="G52" s="279" t="s">
        <v>811</v>
      </c>
      <c r="H52" s="280" t="s">
        <v>808</v>
      </c>
      <c r="I52" s="280" t="s">
        <v>276</v>
      </c>
      <c r="J52" s="280" t="s">
        <v>576</v>
      </c>
      <c r="K52" s="18" t="s">
        <v>7</v>
      </c>
      <c r="L52" s="197"/>
      <c r="M52" s="197"/>
      <c r="R52" s="25" t="str">
        <f>IFERROR(__xludf.DUMMYFUNCTION("""COMPUTED_VALUE"""),"14 - SENSIBILISATION ET FORMATION À LA SÉCURITÉ")</f>
        <v>14 - SENSIBILISATION ET FORMATION À LA SÉCURITÉ</v>
      </c>
    </row>
    <row r="53">
      <c r="A53" s="281" t="s">
        <v>812</v>
      </c>
      <c r="B53" s="188" t="s">
        <v>813</v>
      </c>
      <c r="C53" s="189">
        <v>15.0</v>
      </c>
      <c r="D53" s="282">
        <v>46037.0</v>
      </c>
      <c r="E53" s="283" t="s">
        <v>814</v>
      </c>
      <c r="F53" s="284" t="s">
        <v>815</v>
      </c>
      <c r="G53" s="284" t="s">
        <v>816</v>
      </c>
      <c r="H53" s="285" t="s">
        <v>817</v>
      </c>
      <c r="I53" s="285" t="s">
        <v>271</v>
      </c>
      <c r="J53" s="285" t="s">
        <v>576</v>
      </c>
      <c r="K53" s="18" t="s">
        <v>9</v>
      </c>
      <c r="L53" s="197"/>
      <c r="M53" s="197"/>
      <c r="R53" s="25" t="str">
        <f>IFERROR(__xludf.DUMMYFUNCTION("""COMPUTED_VALUE"""),"15 - GESTION DES PRESTATAIRES DE SERVICES")</f>
        <v>15 - GESTION DES PRESTATAIRES DE SERVICES</v>
      </c>
    </row>
    <row r="54">
      <c r="A54" s="27"/>
      <c r="B54" s="188" t="s">
        <v>813</v>
      </c>
      <c r="C54" s="189">
        <v>15.0</v>
      </c>
      <c r="D54" s="282">
        <v>46068.0</v>
      </c>
      <c r="E54" s="283" t="s">
        <v>818</v>
      </c>
      <c r="F54" s="284" t="s">
        <v>819</v>
      </c>
      <c r="G54" s="284" t="s">
        <v>820</v>
      </c>
      <c r="H54" s="285" t="s">
        <v>817</v>
      </c>
      <c r="I54" s="285" t="s">
        <v>276</v>
      </c>
      <c r="J54" s="285" t="s">
        <v>587</v>
      </c>
      <c r="K54" s="18" t="s">
        <v>16</v>
      </c>
      <c r="L54" s="197"/>
      <c r="M54" s="197"/>
      <c r="R54" s="25" t="str">
        <f>IFERROR(__xludf.DUMMYFUNCTION("""COMPUTED_VALUE"""),"15 - GESTION DES PRESTATAIRES DE SERVICES")</f>
        <v>15 - GESTION DES PRESTATAIRES DE SERVICES</v>
      </c>
    </row>
    <row r="55">
      <c r="A55" s="286" t="s">
        <v>821</v>
      </c>
      <c r="B55" s="188" t="s">
        <v>822</v>
      </c>
      <c r="C55" s="189">
        <v>16.0</v>
      </c>
      <c r="D55" s="287">
        <v>46038.0</v>
      </c>
      <c r="E55" s="288" t="s">
        <v>823</v>
      </c>
      <c r="F55" s="289" t="s">
        <v>824</v>
      </c>
      <c r="G55" s="289" t="s">
        <v>825</v>
      </c>
      <c r="H55" s="290" t="s">
        <v>826</v>
      </c>
      <c r="I55" s="290" t="s">
        <v>276</v>
      </c>
      <c r="J55" s="290" t="s">
        <v>576</v>
      </c>
      <c r="K55" s="18" t="s">
        <v>7</v>
      </c>
      <c r="L55" s="197"/>
      <c r="M55" s="197"/>
      <c r="R55" s="25" t="str">
        <f>IFERROR(__xludf.DUMMYFUNCTION("""COMPUTED_VALUE"""),"16 - SÉCURITÉ DES LOGICIELS APPLICATIFS")</f>
        <v>16 - SÉCURITÉ DES LOGICIELS APPLICATIFS</v>
      </c>
    </row>
    <row r="56">
      <c r="A56" s="27"/>
      <c r="B56" s="188" t="s">
        <v>822</v>
      </c>
      <c r="C56" s="189">
        <v>16.0</v>
      </c>
      <c r="D56" s="287">
        <v>46069.0</v>
      </c>
      <c r="E56" s="288" t="s">
        <v>827</v>
      </c>
      <c r="F56" s="289" t="s">
        <v>828</v>
      </c>
      <c r="G56" s="289" t="s">
        <v>829</v>
      </c>
      <c r="H56" s="290" t="s">
        <v>826</v>
      </c>
      <c r="I56" s="290" t="s">
        <v>271</v>
      </c>
      <c r="J56" s="290" t="s">
        <v>576</v>
      </c>
      <c r="K56" s="18" t="s">
        <v>7</v>
      </c>
      <c r="L56" s="197"/>
      <c r="M56" s="197"/>
      <c r="R56" s="25" t="str">
        <f>IFERROR(__xludf.DUMMYFUNCTION("""COMPUTED_VALUE"""),"16 - SÉCURITÉ DES LOGICIELS APPLICATIFS")</f>
        <v>16 - SÉCURITÉ DES LOGICIELS APPLICATIFS</v>
      </c>
    </row>
    <row r="57">
      <c r="A57" s="291" t="s">
        <v>830</v>
      </c>
      <c r="B57" s="188" t="s">
        <v>831</v>
      </c>
      <c r="C57" s="189">
        <v>17.0</v>
      </c>
      <c r="D57" s="292">
        <v>46039.0</v>
      </c>
      <c r="E57" s="293" t="s">
        <v>832</v>
      </c>
      <c r="F57" s="294" t="s">
        <v>833</v>
      </c>
      <c r="G57" s="294" t="s">
        <v>834</v>
      </c>
      <c r="H57" s="295" t="s">
        <v>293</v>
      </c>
      <c r="I57" s="295" t="s">
        <v>312</v>
      </c>
      <c r="J57" s="295" t="s">
        <v>576</v>
      </c>
      <c r="K57" s="18" t="s">
        <v>11</v>
      </c>
      <c r="L57" s="197"/>
      <c r="M57" s="197"/>
      <c r="R57" s="25" t="str">
        <f>IFERROR(__xludf.DUMMYFUNCTION("""COMPUTED_VALUE"""),"17 - GESTION DE LA RÉPONSE AUX INCIDENTS")</f>
        <v>17 - GESTION DE LA RÉPONSE AUX INCIDENTS</v>
      </c>
    </row>
    <row r="58">
      <c r="A58" s="26"/>
      <c r="B58" s="188" t="s">
        <v>831</v>
      </c>
      <c r="C58" s="189">
        <v>17.0</v>
      </c>
      <c r="D58" s="292">
        <v>46070.0</v>
      </c>
      <c r="E58" s="293" t="s">
        <v>835</v>
      </c>
      <c r="F58" s="294" t="s">
        <v>836</v>
      </c>
      <c r="G58" s="294" t="s">
        <v>837</v>
      </c>
      <c r="H58" s="295" t="s">
        <v>293</v>
      </c>
      <c r="I58" s="295" t="s">
        <v>312</v>
      </c>
      <c r="J58" s="295" t="s">
        <v>576</v>
      </c>
      <c r="K58" s="18" t="s">
        <v>9</v>
      </c>
      <c r="L58" s="197"/>
      <c r="M58" s="197"/>
      <c r="R58" s="25" t="str">
        <f>IFERROR(__xludf.DUMMYFUNCTION("""COMPUTED_VALUE"""),"17 - GESTION DE LA RÉPONSE AUX INCIDENTS")</f>
        <v>17 - GESTION DE LA RÉPONSE AUX INCIDENTS</v>
      </c>
    </row>
    <row r="59">
      <c r="A59" s="27"/>
      <c r="B59" s="188" t="s">
        <v>831</v>
      </c>
      <c r="C59" s="189">
        <v>17.0</v>
      </c>
      <c r="D59" s="292">
        <v>46098.0</v>
      </c>
      <c r="E59" s="293" t="s">
        <v>838</v>
      </c>
      <c r="F59" s="294" t="s">
        <v>839</v>
      </c>
      <c r="G59" s="294" t="s">
        <v>840</v>
      </c>
      <c r="H59" s="295" t="s">
        <v>293</v>
      </c>
      <c r="I59" s="295" t="s">
        <v>312</v>
      </c>
      <c r="J59" s="295" t="s">
        <v>576</v>
      </c>
      <c r="K59" s="18" t="s">
        <v>16</v>
      </c>
      <c r="L59" s="197"/>
      <c r="M59" s="197"/>
      <c r="R59" s="25" t="str">
        <f>IFERROR(__xludf.DUMMYFUNCTION("""COMPUTED_VALUE"""),"17 - GESTION DE LA RÉPONSE AUX INCIDENTS")</f>
        <v>17 - GESTION DE LA RÉPONSE AUX INCIDENTS</v>
      </c>
    </row>
    <row r="60">
      <c r="A60" s="296" t="s">
        <v>841</v>
      </c>
      <c r="B60" s="188" t="s">
        <v>842</v>
      </c>
      <c r="C60" s="189">
        <v>18.0</v>
      </c>
      <c r="D60" s="297">
        <v>46040.0</v>
      </c>
      <c r="E60" s="298" t="s">
        <v>843</v>
      </c>
      <c r="F60" s="299" t="s">
        <v>844</v>
      </c>
      <c r="G60" s="299" t="s">
        <v>845</v>
      </c>
      <c r="H60" s="300" t="s">
        <v>846</v>
      </c>
      <c r="I60" s="300" t="s">
        <v>271</v>
      </c>
      <c r="J60" s="300" t="s">
        <v>587</v>
      </c>
      <c r="K60" s="18" t="s">
        <v>9</v>
      </c>
      <c r="L60" s="197"/>
      <c r="M60" s="197"/>
      <c r="R60" s="25" t="str">
        <f>IFERROR(__xludf.DUMMYFUNCTION("""COMPUTED_VALUE"""),"18 - TESTS D'INTRUSION")</f>
        <v>18 - TESTS D'INTRUSION</v>
      </c>
    </row>
    <row r="61">
      <c r="A61" s="26"/>
      <c r="B61" s="188" t="s">
        <v>842</v>
      </c>
      <c r="C61" s="189">
        <v>18.0</v>
      </c>
      <c r="D61" s="297">
        <v>46071.0</v>
      </c>
      <c r="E61" s="298" t="s">
        <v>847</v>
      </c>
      <c r="F61" s="299" t="s">
        <v>848</v>
      </c>
      <c r="G61" s="299" t="s">
        <v>849</v>
      </c>
      <c r="H61" s="300" t="s">
        <v>846</v>
      </c>
      <c r="I61" s="300" t="s">
        <v>271</v>
      </c>
      <c r="J61" s="300" t="s">
        <v>587</v>
      </c>
      <c r="K61" s="18" t="s">
        <v>7</v>
      </c>
      <c r="L61" s="197"/>
      <c r="M61" s="197"/>
      <c r="R61" s="25" t="str">
        <f>IFERROR(__xludf.DUMMYFUNCTION("""COMPUTED_VALUE"""),"18 - TESTS D'INTRUSION")</f>
        <v>18 - TESTS D'INTRUSION</v>
      </c>
    </row>
    <row r="62">
      <c r="A62" s="27"/>
      <c r="B62" s="188" t="s">
        <v>842</v>
      </c>
      <c r="C62" s="189">
        <v>18.0</v>
      </c>
      <c r="D62" s="297">
        <v>46099.0</v>
      </c>
      <c r="E62" s="298" t="s">
        <v>850</v>
      </c>
      <c r="F62" s="299" t="s">
        <v>851</v>
      </c>
      <c r="G62" s="299" t="s">
        <v>852</v>
      </c>
      <c r="H62" s="300" t="s">
        <v>846</v>
      </c>
      <c r="I62" s="300" t="s">
        <v>312</v>
      </c>
      <c r="J62" s="300" t="s">
        <v>587</v>
      </c>
      <c r="K62" s="18" t="s">
        <v>16</v>
      </c>
      <c r="L62" s="197"/>
      <c r="M62" s="197"/>
      <c r="R62" s="25" t="str">
        <f>IFERROR(__xludf.DUMMYFUNCTION("""COMPUTED_VALUE"""),"18 - TESTS D'INTRUSION")</f>
        <v>18 - TESTS D'INTRUSION</v>
      </c>
    </row>
    <row r="63" ht="67.5" customHeight="1">
      <c r="A63" s="301" t="s">
        <v>853</v>
      </c>
      <c r="B63" s="302"/>
      <c r="C63" s="302"/>
      <c r="D63" s="302"/>
      <c r="E63" s="302"/>
      <c r="F63" s="302"/>
      <c r="G63" s="303"/>
      <c r="H63" s="304"/>
      <c r="I63" s="302"/>
      <c r="J63" s="302"/>
      <c r="K63" s="302" t="str">
        <f>(COUNTIF(K3:K62,"1 - Insuffisant")*1 
+COUNTIF(K3:K62,"2 - Émergent")*2
+COUNTIF(K3:K62,"3 - Intermédiaire")*3
+COUNTIF(K3:K62,"4 - Confirmé")*4
+COUNTIF(K3:K62,"5 - Optimal")*5)
&amp; "/"
&amp; (ROWS(K3:K62)*5)</f>
        <v>160/300</v>
      </c>
      <c r="L63" s="305" t="str">
        <f>ROUND((LEFT(K63,SEARCH("/",K63)-1)/RIGHT(K63,LEN(K63)-SEARCH("/",K63)))*5,2)&amp;" / 5"</f>
        <v>2,67 / 5</v>
      </c>
      <c r="M63" s="305"/>
    </row>
    <row r="64">
      <c r="D64" s="13"/>
      <c r="E64" s="306"/>
      <c r="F64" s="307"/>
      <c r="G64" s="308"/>
      <c r="H64" s="309"/>
      <c r="I64" s="13"/>
      <c r="J64" s="13"/>
      <c r="L64" s="310"/>
      <c r="M64" s="310"/>
    </row>
    <row r="65">
      <c r="D65" s="13"/>
      <c r="E65" s="306"/>
      <c r="F65" s="307"/>
      <c r="G65" s="308"/>
      <c r="H65" s="309"/>
      <c r="I65" s="13"/>
      <c r="J65" s="13"/>
      <c r="L65" s="310"/>
      <c r="M65" s="310"/>
    </row>
    <row r="66">
      <c r="D66" s="13"/>
      <c r="E66" s="306"/>
      <c r="F66" s="307"/>
      <c r="G66" s="308"/>
      <c r="H66" s="309"/>
      <c r="I66" s="13"/>
      <c r="J66" s="13"/>
      <c r="L66" s="310"/>
      <c r="M66" s="310"/>
    </row>
    <row r="67">
      <c r="D67" s="13"/>
      <c r="E67" s="306"/>
      <c r="F67" s="307"/>
      <c r="G67" s="308"/>
      <c r="H67" s="309"/>
      <c r="I67" s="13"/>
      <c r="J67" s="13"/>
      <c r="L67" s="310"/>
      <c r="M67" s="310"/>
    </row>
    <row r="68">
      <c r="D68" s="13"/>
      <c r="E68" s="306"/>
      <c r="F68" s="307"/>
      <c r="G68" s="308"/>
      <c r="H68" s="309"/>
      <c r="I68" s="13"/>
      <c r="J68" s="13"/>
      <c r="L68" s="310"/>
      <c r="M68" s="310"/>
    </row>
    <row r="69">
      <c r="A69" s="220"/>
      <c r="B69" s="220"/>
      <c r="C69" s="196"/>
      <c r="D69" s="196"/>
      <c r="E69" s="311"/>
      <c r="F69" s="307"/>
      <c r="G69" s="308"/>
      <c r="H69" s="309"/>
      <c r="I69" s="13"/>
      <c r="J69" s="13"/>
      <c r="L69" s="310"/>
      <c r="M69" s="310"/>
    </row>
    <row r="70">
      <c r="A70" s="196"/>
      <c r="B70" s="196"/>
      <c r="C70" s="196"/>
      <c r="D70" s="196"/>
      <c r="E70" s="311"/>
      <c r="F70" s="307"/>
      <c r="G70" s="308"/>
      <c r="H70" s="309"/>
      <c r="I70" s="13"/>
      <c r="J70" s="13"/>
      <c r="L70" s="310"/>
      <c r="M70" s="310"/>
    </row>
    <row r="71">
      <c r="A71" s="196"/>
      <c r="B71" s="196"/>
      <c r="C71" s="196"/>
      <c r="D71" s="196"/>
      <c r="E71" s="311"/>
      <c r="F71" s="307"/>
      <c r="G71" s="308"/>
      <c r="H71" s="309"/>
      <c r="I71" s="13"/>
      <c r="J71" s="13"/>
      <c r="L71" s="310"/>
      <c r="M71" s="310"/>
    </row>
    <row r="72">
      <c r="A72" s="196"/>
      <c r="B72" s="196"/>
      <c r="C72" s="196"/>
      <c r="D72" s="196"/>
      <c r="E72" s="311"/>
      <c r="F72" s="307"/>
      <c r="G72" s="308"/>
      <c r="H72" s="309"/>
      <c r="I72" s="13"/>
      <c r="J72" s="13"/>
      <c r="L72" s="310"/>
      <c r="M72" s="310"/>
    </row>
    <row r="73">
      <c r="A73" s="196"/>
      <c r="B73" s="196"/>
      <c r="C73" s="196"/>
      <c r="D73" s="196"/>
      <c r="E73" s="311"/>
      <c r="F73" s="307"/>
      <c r="G73" s="308"/>
      <c r="H73" s="309"/>
      <c r="I73" s="13"/>
      <c r="J73" s="13"/>
      <c r="L73" s="310"/>
      <c r="M73" s="310"/>
    </row>
    <row r="74">
      <c r="A74" s="196"/>
      <c r="B74" s="196"/>
      <c r="C74" s="196"/>
      <c r="D74" s="196"/>
      <c r="E74" s="311"/>
      <c r="F74" s="307"/>
      <c r="G74" s="308"/>
      <c r="H74" s="309"/>
      <c r="I74" s="13"/>
      <c r="J74" s="13"/>
      <c r="L74" s="310"/>
      <c r="M74" s="310"/>
    </row>
    <row r="75">
      <c r="A75" s="196"/>
      <c r="B75" s="196"/>
      <c r="C75" s="196"/>
      <c r="D75" s="196"/>
      <c r="E75" s="311"/>
      <c r="F75" s="307"/>
      <c r="G75" s="308"/>
      <c r="H75" s="309"/>
      <c r="I75" s="13"/>
      <c r="J75" s="13"/>
      <c r="L75" s="310"/>
      <c r="M75" s="310"/>
    </row>
    <row r="76">
      <c r="A76" s="196"/>
      <c r="B76" s="196"/>
      <c r="C76" s="196"/>
      <c r="D76" s="196"/>
      <c r="E76" s="311"/>
      <c r="F76" s="307"/>
      <c r="G76" s="308"/>
      <c r="H76" s="309"/>
      <c r="I76" s="13"/>
      <c r="J76" s="13"/>
      <c r="L76" s="310"/>
      <c r="M76" s="310"/>
    </row>
    <row r="77">
      <c r="D77" s="13"/>
      <c r="E77" s="306"/>
      <c r="F77" s="307"/>
      <c r="G77" s="308"/>
      <c r="H77" s="309"/>
      <c r="I77" s="13"/>
      <c r="J77" s="13"/>
      <c r="L77" s="310"/>
      <c r="M77" s="310"/>
    </row>
    <row r="78">
      <c r="D78" s="13"/>
      <c r="E78" s="306"/>
      <c r="F78" s="307"/>
      <c r="G78" s="308"/>
      <c r="H78" s="309"/>
      <c r="I78" s="13"/>
      <c r="J78" s="13"/>
      <c r="L78" s="140"/>
      <c r="M78" s="140"/>
    </row>
    <row r="79">
      <c r="D79" s="13"/>
      <c r="E79" s="182"/>
      <c r="G79" s="312"/>
      <c r="H79" s="309"/>
      <c r="I79" s="13"/>
      <c r="J79" s="13"/>
      <c r="L79" s="140"/>
      <c r="M79" s="140"/>
    </row>
    <row r="80">
      <c r="D80" s="13"/>
      <c r="E80" s="182"/>
      <c r="G80" s="312"/>
      <c r="H80" s="309"/>
      <c r="I80" s="13"/>
      <c r="J80" s="13"/>
      <c r="L80" s="140"/>
      <c r="M80" s="140"/>
    </row>
    <row r="81">
      <c r="D81" s="13"/>
      <c r="E81" s="182"/>
      <c r="G81" s="312"/>
      <c r="H81" s="309"/>
      <c r="I81" s="13"/>
      <c r="J81" s="13"/>
      <c r="L81" s="140"/>
      <c r="M81" s="140"/>
    </row>
    <row r="82">
      <c r="D82" s="13"/>
      <c r="E82" s="182"/>
      <c r="G82" s="312"/>
      <c r="H82" s="309"/>
      <c r="I82" s="13"/>
      <c r="J82" s="13"/>
      <c r="L82" s="140"/>
      <c r="M82" s="140"/>
    </row>
    <row r="83">
      <c r="D83" s="13"/>
      <c r="E83" s="182"/>
      <c r="G83" s="312"/>
      <c r="H83" s="309"/>
      <c r="I83" s="13"/>
      <c r="J83" s="13"/>
      <c r="L83" s="140"/>
      <c r="M83" s="140"/>
    </row>
    <row r="84">
      <c r="D84" s="13"/>
      <c r="E84" s="182"/>
      <c r="G84" s="312"/>
      <c r="H84" s="309"/>
      <c r="I84" s="13"/>
      <c r="J84" s="13"/>
      <c r="L84" s="140"/>
      <c r="M84" s="140"/>
    </row>
    <row r="85">
      <c r="D85" s="13"/>
      <c r="E85" s="182"/>
      <c r="G85" s="312"/>
      <c r="H85" s="309"/>
      <c r="I85" s="13"/>
      <c r="J85" s="13"/>
      <c r="L85" s="140"/>
      <c r="M85" s="140"/>
    </row>
    <row r="86">
      <c r="D86" s="13"/>
      <c r="E86" s="182"/>
      <c r="G86" s="312"/>
      <c r="H86" s="309"/>
      <c r="I86" s="13"/>
      <c r="J86" s="13"/>
      <c r="L86" s="140"/>
      <c r="M86" s="140"/>
    </row>
    <row r="87">
      <c r="D87" s="13"/>
      <c r="E87" s="182"/>
      <c r="G87" s="312"/>
      <c r="H87" s="309"/>
      <c r="I87" s="13"/>
      <c r="J87" s="13"/>
      <c r="L87" s="140"/>
      <c r="M87" s="140"/>
    </row>
    <row r="88">
      <c r="D88" s="13"/>
      <c r="E88" s="182"/>
      <c r="G88" s="312"/>
      <c r="H88" s="309"/>
      <c r="I88" s="13"/>
      <c r="J88" s="13"/>
      <c r="L88" s="140"/>
      <c r="M88" s="140"/>
    </row>
    <row r="89">
      <c r="D89" s="13"/>
      <c r="E89" s="182"/>
      <c r="G89" s="312"/>
      <c r="H89" s="309"/>
      <c r="I89" s="13"/>
      <c r="J89" s="13"/>
      <c r="L89" s="140"/>
      <c r="M89" s="140"/>
    </row>
    <row r="90">
      <c r="D90" s="13"/>
      <c r="E90" s="182"/>
      <c r="G90" s="312"/>
      <c r="H90" s="309"/>
      <c r="I90" s="13"/>
      <c r="J90" s="13"/>
      <c r="L90" s="140"/>
      <c r="M90" s="140"/>
    </row>
    <row r="91">
      <c r="D91" s="13"/>
      <c r="E91" s="182"/>
      <c r="G91" s="312"/>
      <c r="H91" s="309"/>
      <c r="I91" s="13"/>
      <c r="J91" s="13"/>
      <c r="L91" s="140"/>
      <c r="M91" s="140"/>
    </row>
    <row r="92">
      <c r="D92" s="13"/>
      <c r="E92" s="182"/>
      <c r="G92" s="312"/>
      <c r="H92" s="309"/>
      <c r="I92" s="13"/>
      <c r="J92" s="13"/>
      <c r="L92" s="140"/>
      <c r="M92" s="140"/>
    </row>
    <row r="93">
      <c r="D93" s="13"/>
      <c r="E93" s="182"/>
      <c r="G93" s="312"/>
      <c r="H93" s="309"/>
      <c r="I93" s="13"/>
      <c r="J93" s="13"/>
      <c r="L93" s="140"/>
      <c r="M93" s="140"/>
    </row>
    <row r="94">
      <c r="D94" s="13"/>
      <c r="E94" s="182"/>
      <c r="G94" s="312"/>
      <c r="H94" s="309"/>
      <c r="I94" s="13"/>
      <c r="J94" s="13"/>
      <c r="L94" s="140"/>
      <c r="M94" s="140"/>
    </row>
    <row r="95">
      <c r="D95" s="13"/>
      <c r="E95" s="182"/>
      <c r="G95" s="312"/>
      <c r="H95" s="309"/>
      <c r="I95" s="13"/>
      <c r="J95" s="13"/>
      <c r="L95" s="140"/>
      <c r="M95" s="140"/>
    </row>
    <row r="96">
      <c r="D96" s="13"/>
      <c r="E96" s="182"/>
      <c r="G96" s="312"/>
      <c r="H96" s="309"/>
      <c r="I96" s="13"/>
      <c r="J96" s="13"/>
      <c r="L96" s="140"/>
      <c r="M96" s="140"/>
    </row>
    <row r="97">
      <c r="D97" s="13"/>
      <c r="E97" s="182"/>
      <c r="G97" s="312"/>
      <c r="H97" s="309"/>
      <c r="I97" s="13"/>
      <c r="J97" s="13"/>
      <c r="L97" s="140"/>
      <c r="M97" s="140"/>
    </row>
    <row r="98">
      <c r="D98" s="13"/>
      <c r="E98" s="182"/>
      <c r="G98" s="312"/>
      <c r="H98" s="309"/>
      <c r="I98" s="13"/>
      <c r="J98" s="13"/>
      <c r="L98" s="140"/>
      <c r="M98" s="140"/>
    </row>
    <row r="99">
      <c r="D99" s="13"/>
      <c r="E99" s="182"/>
      <c r="G99" s="312"/>
      <c r="H99" s="309"/>
      <c r="I99" s="13"/>
      <c r="J99" s="13"/>
      <c r="L99" s="140"/>
      <c r="M99" s="140"/>
    </row>
    <row r="100">
      <c r="D100" s="13"/>
      <c r="E100" s="182"/>
      <c r="G100" s="312"/>
      <c r="H100" s="309"/>
      <c r="I100" s="13"/>
      <c r="J100" s="13"/>
      <c r="L100" s="140"/>
      <c r="M100" s="140"/>
    </row>
    <row r="101">
      <c r="D101" s="13"/>
      <c r="E101" s="182"/>
      <c r="G101" s="312"/>
      <c r="H101" s="309"/>
      <c r="I101" s="13"/>
      <c r="J101" s="13"/>
      <c r="L101" s="140"/>
      <c r="M101" s="140"/>
    </row>
    <row r="102">
      <c r="D102" s="13"/>
      <c r="E102" s="182"/>
      <c r="G102" s="312"/>
      <c r="H102" s="309"/>
      <c r="I102" s="13"/>
      <c r="J102" s="13"/>
      <c r="L102" s="140"/>
      <c r="M102" s="140"/>
    </row>
    <row r="103">
      <c r="D103" s="13"/>
      <c r="E103" s="182"/>
      <c r="G103" s="312"/>
      <c r="H103" s="309"/>
      <c r="I103" s="13"/>
      <c r="J103" s="13"/>
      <c r="L103" s="140"/>
      <c r="M103" s="140"/>
    </row>
    <row r="104">
      <c r="D104" s="13"/>
      <c r="E104" s="182"/>
      <c r="G104" s="312"/>
      <c r="H104" s="309"/>
      <c r="I104" s="13"/>
      <c r="J104" s="13"/>
      <c r="L104" s="140"/>
      <c r="M104" s="140"/>
    </row>
    <row r="105">
      <c r="D105" s="13"/>
      <c r="E105" s="182"/>
      <c r="G105" s="312"/>
      <c r="H105" s="309"/>
      <c r="I105" s="13"/>
      <c r="J105" s="13"/>
      <c r="L105" s="140"/>
      <c r="M105" s="140"/>
    </row>
    <row r="106">
      <c r="D106" s="13"/>
      <c r="E106" s="182"/>
      <c r="G106" s="312"/>
      <c r="H106" s="309"/>
      <c r="I106" s="13"/>
      <c r="J106" s="13"/>
      <c r="L106" s="140"/>
      <c r="M106" s="140"/>
    </row>
    <row r="107">
      <c r="D107" s="13"/>
      <c r="E107" s="182"/>
      <c r="G107" s="312"/>
      <c r="H107" s="309"/>
      <c r="I107" s="13"/>
      <c r="J107" s="13"/>
      <c r="L107" s="140"/>
      <c r="M107" s="140"/>
    </row>
    <row r="108">
      <c r="D108" s="13"/>
      <c r="E108" s="182"/>
      <c r="G108" s="312"/>
      <c r="H108" s="309"/>
      <c r="I108" s="13"/>
      <c r="J108" s="13"/>
      <c r="L108" s="140"/>
      <c r="M108" s="140"/>
    </row>
    <row r="109">
      <c r="D109" s="13"/>
      <c r="E109" s="182"/>
      <c r="G109" s="312"/>
      <c r="H109" s="309"/>
      <c r="I109" s="13"/>
      <c r="J109" s="13"/>
      <c r="L109" s="140"/>
      <c r="M109" s="140"/>
    </row>
    <row r="110">
      <c r="D110" s="13"/>
      <c r="E110" s="182"/>
      <c r="G110" s="312"/>
      <c r="H110" s="309"/>
      <c r="I110" s="13"/>
      <c r="J110" s="13"/>
      <c r="L110" s="140"/>
      <c r="M110" s="140"/>
    </row>
    <row r="111">
      <c r="D111" s="13"/>
      <c r="E111" s="182"/>
      <c r="G111" s="312"/>
      <c r="H111" s="309"/>
      <c r="I111" s="13"/>
      <c r="J111" s="13"/>
      <c r="L111" s="140"/>
      <c r="M111" s="140"/>
    </row>
    <row r="112">
      <c r="D112" s="13"/>
      <c r="E112" s="182"/>
      <c r="G112" s="312"/>
      <c r="H112" s="309"/>
      <c r="I112" s="13"/>
      <c r="J112" s="13"/>
      <c r="L112" s="140"/>
      <c r="M112" s="140"/>
    </row>
    <row r="113">
      <c r="D113" s="13"/>
      <c r="E113" s="182"/>
      <c r="G113" s="312"/>
      <c r="H113" s="309"/>
      <c r="I113" s="13"/>
      <c r="J113" s="13"/>
      <c r="L113" s="140"/>
      <c r="M113" s="140"/>
    </row>
    <row r="114">
      <c r="D114" s="13"/>
      <c r="E114" s="182"/>
      <c r="G114" s="312"/>
      <c r="H114" s="309"/>
      <c r="I114" s="13"/>
      <c r="J114" s="13"/>
      <c r="L114" s="140"/>
      <c r="M114" s="140"/>
    </row>
    <row r="115">
      <c r="D115" s="13"/>
      <c r="E115" s="182"/>
      <c r="G115" s="312"/>
      <c r="H115" s="309"/>
      <c r="I115" s="13"/>
      <c r="J115" s="13"/>
      <c r="L115" s="140"/>
      <c r="M115" s="140"/>
    </row>
    <row r="116">
      <c r="D116" s="13"/>
      <c r="E116" s="182"/>
      <c r="G116" s="312"/>
      <c r="H116" s="309"/>
      <c r="I116" s="13"/>
      <c r="J116" s="13"/>
      <c r="L116" s="140"/>
      <c r="M116" s="140"/>
    </row>
    <row r="117">
      <c r="D117" s="13"/>
      <c r="E117" s="182"/>
      <c r="G117" s="312"/>
      <c r="H117" s="309"/>
      <c r="I117" s="13"/>
      <c r="J117" s="13"/>
      <c r="L117" s="140"/>
      <c r="M117" s="140"/>
    </row>
    <row r="118">
      <c r="D118" s="13"/>
      <c r="E118" s="182"/>
      <c r="G118" s="312"/>
      <c r="H118" s="309"/>
      <c r="I118" s="13"/>
      <c r="J118" s="13"/>
      <c r="L118" s="140"/>
      <c r="M118" s="140"/>
    </row>
    <row r="119">
      <c r="D119" s="13"/>
      <c r="E119" s="182"/>
      <c r="G119" s="312"/>
      <c r="H119" s="309"/>
      <c r="I119" s="13"/>
      <c r="J119" s="13"/>
      <c r="L119" s="140"/>
      <c r="M119" s="140"/>
    </row>
    <row r="120">
      <c r="D120" s="13"/>
      <c r="E120" s="182"/>
      <c r="G120" s="312"/>
      <c r="H120" s="309"/>
      <c r="I120" s="13"/>
      <c r="J120" s="13"/>
      <c r="L120" s="140"/>
      <c r="M120" s="140"/>
    </row>
    <row r="121">
      <c r="D121" s="13"/>
      <c r="E121" s="182"/>
      <c r="G121" s="312"/>
      <c r="H121" s="309"/>
      <c r="I121" s="13"/>
      <c r="J121" s="13"/>
      <c r="L121" s="140"/>
      <c r="M121" s="140"/>
    </row>
    <row r="122">
      <c r="D122" s="13"/>
      <c r="E122" s="182"/>
      <c r="G122" s="312"/>
      <c r="H122" s="309"/>
      <c r="I122" s="13"/>
      <c r="J122" s="13"/>
      <c r="L122" s="140"/>
      <c r="M122" s="140"/>
    </row>
    <row r="123">
      <c r="D123" s="13"/>
      <c r="E123" s="182"/>
      <c r="G123" s="312"/>
      <c r="H123" s="309"/>
      <c r="I123" s="13"/>
      <c r="J123" s="13"/>
      <c r="L123" s="140"/>
      <c r="M123" s="140"/>
    </row>
    <row r="124">
      <c r="A124" s="196"/>
      <c r="B124" s="196"/>
      <c r="C124" s="196"/>
      <c r="D124" s="196"/>
      <c r="E124" s="182"/>
      <c r="G124" s="312"/>
      <c r="H124" s="309"/>
      <c r="I124" s="13"/>
      <c r="J124" s="13"/>
      <c r="L124" s="140"/>
      <c r="M124" s="140"/>
    </row>
    <row r="125">
      <c r="D125" s="13"/>
      <c r="E125" s="182"/>
      <c r="G125" s="312"/>
      <c r="H125" s="309"/>
      <c r="I125" s="13"/>
      <c r="J125" s="13"/>
      <c r="L125" s="140"/>
      <c r="M125" s="140"/>
    </row>
    <row r="126">
      <c r="D126" s="13"/>
      <c r="E126" s="182"/>
      <c r="G126" s="312"/>
      <c r="H126" s="309"/>
      <c r="I126" s="13"/>
      <c r="J126" s="13"/>
      <c r="L126" s="140"/>
      <c r="M126" s="140"/>
    </row>
    <row r="127">
      <c r="D127" s="13"/>
      <c r="E127" s="182"/>
      <c r="G127" s="312"/>
      <c r="H127" s="309"/>
      <c r="I127" s="13"/>
      <c r="J127" s="13"/>
      <c r="L127" s="140"/>
      <c r="M127" s="140"/>
    </row>
    <row r="128">
      <c r="D128" s="13"/>
      <c r="E128" s="182"/>
      <c r="G128" s="312"/>
      <c r="H128" s="309"/>
      <c r="I128" s="13"/>
      <c r="J128" s="13"/>
      <c r="L128" s="140"/>
      <c r="M128" s="140"/>
    </row>
    <row r="129">
      <c r="D129" s="13"/>
      <c r="E129" s="182"/>
      <c r="G129" s="312"/>
      <c r="H129" s="309"/>
      <c r="I129" s="13"/>
      <c r="J129" s="13"/>
      <c r="L129" s="140"/>
      <c r="M129" s="140"/>
    </row>
    <row r="130">
      <c r="D130" s="13"/>
      <c r="E130" s="182"/>
      <c r="G130" s="312"/>
      <c r="H130" s="309"/>
      <c r="I130" s="13"/>
      <c r="J130" s="13"/>
      <c r="L130" s="140"/>
      <c r="M130" s="140"/>
    </row>
    <row r="131">
      <c r="D131" s="13"/>
      <c r="E131" s="182"/>
      <c r="G131" s="312"/>
      <c r="H131" s="309"/>
      <c r="I131" s="13"/>
      <c r="J131" s="13"/>
      <c r="L131" s="140"/>
      <c r="M131" s="140"/>
    </row>
    <row r="132">
      <c r="D132" s="13"/>
      <c r="E132" s="182"/>
      <c r="G132" s="312"/>
      <c r="H132" s="309"/>
      <c r="I132" s="13"/>
      <c r="J132" s="13"/>
      <c r="L132" s="140"/>
      <c r="M132" s="140"/>
    </row>
    <row r="133">
      <c r="D133" s="13"/>
      <c r="E133" s="182"/>
      <c r="G133" s="122"/>
      <c r="H133" s="182"/>
      <c r="I133" s="13"/>
      <c r="J133" s="13"/>
      <c r="L133" s="140"/>
      <c r="M133" s="140"/>
    </row>
    <row r="134">
      <c r="D134" s="13"/>
      <c r="E134" s="182"/>
      <c r="G134" s="122"/>
      <c r="H134" s="182"/>
      <c r="I134" s="13"/>
      <c r="J134" s="13"/>
      <c r="L134" s="140"/>
      <c r="M134" s="140"/>
    </row>
    <row r="135">
      <c r="D135" s="13"/>
      <c r="E135" s="182"/>
      <c r="G135" s="122"/>
      <c r="H135" s="182"/>
      <c r="I135" s="13"/>
      <c r="J135" s="13"/>
      <c r="L135" s="140"/>
      <c r="M135" s="140"/>
    </row>
    <row r="136">
      <c r="D136" s="13"/>
      <c r="E136" s="182"/>
      <c r="G136" s="122"/>
      <c r="H136" s="182"/>
      <c r="I136" s="13"/>
      <c r="J136" s="13"/>
      <c r="L136" s="140"/>
      <c r="M136" s="140"/>
    </row>
    <row r="137">
      <c r="D137" s="13"/>
      <c r="E137" s="182"/>
      <c r="G137" s="122"/>
      <c r="H137" s="182"/>
      <c r="I137" s="13"/>
      <c r="J137" s="13"/>
      <c r="L137" s="140"/>
      <c r="M137" s="140"/>
    </row>
    <row r="138">
      <c r="D138" s="13"/>
      <c r="E138" s="182"/>
      <c r="G138" s="122"/>
      <c r="H138" s="182"/>
      <c r="I138" s="13"/>
      <c r="J138" s="13"/>
      <c r="L138" s="140"/>
      <c r="M138" s="140"/>
    </row>
    <row r="139">
      <c r="D139" s="13"/>
      <c r="E139" s="182"/>
      <c r="G139" s="122"/>
      <c r="H139" s="182"/>
      <c r="I139" s="13"/>
      <c r="J139" s="13"/>
      <c r="L139" s="140"/>
      <c r="M139" s="140"/>
    </row>
    <row r="140">
      <c r="D140" s="13"/>
      <c r="E140" s="182"/>
      <c r="G140" s="122"/>
      <c r="H140" s="182"/>
      <c r="I140" s="13"/>
      <c r="J140" s="13"/>
      <c r="L140" s="140"/>
      <c r="M140" s="140"/>
    </row>
    <row r="141">
      <c r="D141" s="13"/>
      <c r="E141" s="182"/>
      <c r="G141" s="122"/>
      <c r="H141" s="182"/>
      <c r="I141" s="13"/>
      <c r="J141" s="13"/>
      <c r="L141" s="140"/>
      <c r="M141" s="140"/>
    </row>
    <row r="142">
      <c r="D142" s="13"/>
      <c r="E142" s="182"/>
      <c r="G142" s="122"/>
      <c r="H142" s="182"/>
      <c r="I142" s="13"/>
      <c r="J142" s="13"/>
      <c r="L142" s="140"/>
      <c r="M142" s="140"/>
    </row>
    <row r="143">
      <c r="D143" s="13"/>
      <c r="E143" s="182"/>
      <c r="G143" s="122"/>
      <c r="H143" s="182"/>
      <c r="I143" s="13"/>
      <c r="J143" s="13"/>
      <c r="L143" s="140"/>
      <c r="M143" s="140"/>
    </row>
    <row r="144">
      <c r="D144" s="13"/>
      <c r="E144" s="182"/>
      <c r="G144" s="122"/>
      <c r="H144" s="182"/>
      <c r="I144" s="13"/>
      <c r="J144" s="13"/>
      <c r="L144" s="140"/>
      <c r="M144" s="140"/>
    </row>
    <row r="145">
      <c r="D145" s="13"/>
      <c r="E145" s="182"/>
      <c r="G145" s="122"/>
      <c r="H145" s="182"/>
      <c r="I145" s="13"/>
      <c r="J145" s="13"/>
      <c r="L145" s="140"/>
      <c r="M145" s="140"/>
    </row>
    <row r="146">
      <c r="D146" s="13"/>
      <c r="E146" s="182"/>
      <c r="G146" s="122"/>
      <c r="H146" s="182"/>
      <c r="I146" s="13"/>
      <c r="J146" s="13"/>
      <c r="L146" s="140"/>
      <c r="M146" s="140"/>
    </row>
    <row r="147">
      <c r="D147" s="13"/>
      <c r="E147" s="182"/>
      <c r="G147" s="122"/>
      <c r="H147" s="182"/>
      <c r="I147" s="13"/>
      <c r="J147" s="13"/>
      <c r="L147" s="140"/>
      <c r="M147" s="140"/>
    </row>
    <row r="148">
      <c r="D148" s="13"/>
      <c r="E148" s="182"/>
      <c r="G148" s="122"/>
      <c r="H148" s="182"/>
      <c r="I148" s="13"/>
      <c r="J148" s="13"/>
      <c r="L148" s="140"/>
      <c r="M148" s="140"/>
    </row>
    <row r="149">
      <c r="D149" s="13"/>
      <c r="E149" s="182"/>
      <c r="G149" s="122"/>
      <c r="H149" s="182"/>
      <c r="I149" s="13"/>
      <c r="J149" s="13"/>
      <c r="L149" s="140"/>
      <c r="M149" s="140"/>
    </row>
    <row r="150">
      <c r="D150" s="13"/>
      <c r="E150" s="182"/>
      <c r="G150" s="122"/>
      <c r="H150" s="182"/>
      <c r="I150" s="13"/>
      <c r="J150" s="13"/>
      <c r="L150" s="140"/>
      <c r="M150" s="140"/>
    </row>
    <row r="151">
      <c r="D151" s="13"/>
      <c r="E151" s="182"/>
      <c r="G151" s="122"/>
      <c r="H151" s="182"/>
      <c r="I151" s="13"/>
      <c r="J151" s="13"/>
      <c r="L151" s="140"/>
      <c r="M151" s="140"/>
    </row>
    <row r="152">
      <c r="D152" s="13"/>
      <c r="E152" s="182"/>
      <c r="G152" s="122"/>
      <c r="H152" s="182"/>
      <c r="I152" s="13"/>
      <c r="J152" s="13"/>
      <c r="L152" s="140"/>
      <c r="M152" s="140"/>
    </row>
    <row r="153">
      <c r="D153" s="13"/>
      <c r="E153" s="182"/>
      <c r="G153" s="122"/>
      <c r="H153" s="182"/>
      <c r="I153" s="13"/>
      <c r="J153" s="13"/>
      <c r="L153" s="140"/>
      <c r="M153" s="140"/>
    </row>
    <row r="154">
      <c r="D154" s="13"/>
      <c r="E154" s="182"/>
      <c r="G154" s="122"/>
      <c r="H154" s="182"/>
      <c r="I154" s="13"/>
      <c r="J154" s="13"/>
      <c r="L154" s="140"/>
      <c r="M154" s="140"/>
    </row>
    <row r="155">
      <c r="D155" s="13"/>
      <c r="E155" s="182"/>
      <c r="G155" s="122"/>
      <c r="H155" s="182"/>
      <c r="I155" s="13"/>
      <c r="J155" s="13"/>
      <c r="L155" s="140"/>
      <c r="M155" s="140"/>
    </row>
    <row r="156">
      <c r="D156" s="13"/>
      <c r="E156" s="182"/>
      <c r="G156" s="122"/>
      <c r="H156" s="182"/>
      <c r="I156" s="13"/>
      <c r="J156" s="13"/>
      <c r="L156" s="140"/>
      <c r="M156" s="140"/>
    </row>
    <row r="157">
      <c r="D157" s="13"/>
      <c r="E157" s="182"/>
      <c r="G157" s="122"/>
      <c r="H157" s="182"/>
      <c r="I157" s="13"/>
      <c r="J157" s="13"/>
      <c r="L157" s="140"/>
      <c r="M157" s="140"/>
    </row>
    <row r="158">
      <c r="D158" s="13"/>
      <c r="E158" s="182"/>
      <c r="G158" s="122"/>
      <c r="H158" s="182"/>
      <c r="I158" s="13"/>
      <c r="J158" s="13"/>
      <c r="L158" s="140"/>
      <c r="M158" s="140"/>
    </row>
    <row r="159">
      <c r="D159" s="13"/>
      <c r="E159" s="182"/>
      <c r="G159" s="122"/>
      <c r="H159" s="182"/>
      <c r="I159" s="13"/>
      <c r="J159" s="13"/>
      <c r="L159" s="140"/>
      <c r="M159" s="140"/>
    </row>
    <row r="160">
      <c r="D160" s="13"/>
      <c r="E160" s="182"/>
      <c r="G160" s="122"/>
      <c r="H160" s="182"/>
      <c r="I160" s="13"/>
      <c r="J160" s="13"/>
      <c r="L160" s="140"/>
      <c r="M160" s="140"/>
    </row>
    <row r="161">
      <c r="D161" s="13"/>
      <c r="E161" s="182"/>
      <c r="G161" s="122"/>
      <c r="H161" s="182"/>
      <c r="I161" s="13"/>
      <c r="J161" s="13"/>
      <c r="L161" s="140"/>
      <c r="M161" s="140"/>
    </row>
    <row r="162">
      <c r="D162" s="13"/>
      <c r="E162" s="182"/>
      <c r="G162" s="122"/>
      <c r="H162" s="182"/>
      <c r="I162" s="13"/>
      <c r="J162" s="13"/>
      <c r="L162" s="140"/>
      <c r="M162" s="140"/>
    </row>
    <row r="163">
      <c r="D163" s="13"/>
      <c r="E163" s="182"/>
      <c r="G163" s="122"/>
      <c r="H163" s="182"/>
      <c r="I163" s="13"/>
      <c r="J163" s="13"/>
      <c r="L163" s="140"/>
      <c r="M163" s="140"/>
    </row>
    <row r="164">
      <c r="D164" s="13"/>
      <c r="E164" s="182"/>
      <c r="G164" s="122"/>
      <c r="H164" s="182"/>
      <c r="I164" s="13"/>
      <c r="J164" s="13"/>
      <c r="L164" s="140"/>
      <c r="M164" s="140"/>
    </row>
    <row r="165">
      <c r="D165" s="13"/>
      <c r="E165" s="182"/>
      <c r="G165" s="122"/>
      <c r="H165" s="182"/>
      <c r="I165" s="13"/>
      <c r="J165" s="13"/>
      <c r="L165" s="140"/>
      <c r="M165" s="140"/>
    </row>
    <row r="166">
      <c r="D166" s="13"/>
      <c r="E166" s="182"/>
      <c r="G166" s="122"/>
      <c r="H166" s="182"/>
      <c r="I166" s="13"/>
      <c r="J166" s="13"/>
      <c r="L166" s="140"/>
      <c r="M166" s="140"/>
    </row>
    <row r="167">
      <c r="D167" s="13"/>
      <c r="E167" s="182"/>
      <c r="G167" s="122"/>
      <c r="H167" s="182"/>
      <c r="I167" s="13"/>
      <c r="J167" s="13"/>
      <c r="L167" s="140"/>
      <c r="M167" s="140"/>
    </row>
    <row r="168">
      <c r="D168" s="13"/>
      <c r="E168" s="182"/>
      <c r="G168" s="122"/>
      <c r="H168" s="182"/>
      <c r="I168" s="13"/>
      <c r="J168" s="13"/>
      <c r="L168" s="140"/>
      <c r="M168" s="140"/>
    </row>
    <row r="169">
      <c r="D169" s="13"/>
      <c r="E169" s="182"/>
      <c r="G169" s="122"/>
      <c r="H169" s="182"/>
      <c r="I169" s="13"/>
      <c r="J169" s="13"/>
      <c r="L169" s="140"/>
      <c r="M169" s="140"/>
    </row>
    <row r="170">
      <c r="D170" s="13"/>
      <c r="E170" s="182"/>
      <c r="G170" s="122"/>
      <c r="H170" s="182"/>
      <c r="I170" s="13"/>
      <c r="J170" s="13"/>
      <c r="L170" s="140"/>
      <c r="M170" s="140"/>
    </row>
    <row r="171">
      <c r="D171" s="13"/>
      <c r="E171" s="182"/>
      <c r="G171" s="122"/>
      <c r="H171" s="182"/>
      <c r="I171" s="13"/>
      <c r="J171" s="13"/>
      <c r="L171" s="140"/>
      <c r="M171" s="140"/>
    </row>
    <row r="172">
      <c r="D172" s="13"/>
      <c r="E172" s="182"/>
      <c r="G172" s="122"/>
      <c r="H172" s="182"/>
      <c r="I172" s="13"/>
      <c r="J172" s="13"/>
      <c r="L172" s="140"/>
      <c r="M172" s="140"/>
    </row>
    <row r="173">
      <c r="D173" s="13"/>
      <c r="E173" s="182"/>
      <c r="G173" s="122"/>
      <c r="H173" s="182"/>
      <c r="I173" s="13"/>
      <c r="J173" s="13"/>
      <c r="L173" s="140"/>
      <c r="M173" s="140"/>
    </row>
    <row r="174">
      <c r="D174" s="13"/>
      <c r="E174" s="182"/>
      <c r="G174" s="122"/>
      <c r="H174" s="182"/>
      <c r="I174" s="13"/>
      <c r="J174" s="13"/>
      <c r="L174" s="140"/>
      <c r="M174" s="140"/>
    </row>
    <row r="175">
      <c r="D175" s="13"/>
      <c r="E175" s="182"/>
      <c r="G175" s="122"/>
      <c r="H175" s="182"/>
      <c r="I175" s="13"/>
      <c r="J175" s="13"/>
      <c r="L175" s="140"/>
      <c r="M175" s="140"/>
    </row>
    <row r="176">
      <c r="D176" s="13"/>
      <c r="E176" s="182"/>
      <c r="G176" s="122"/>
      <c r="H176" s="182"/>
      <c r="I176" s="13"/>
      <c r="J176" s="13"/>
      <c r="L176" s="140"/>
      <c r="M176" s="140"/>
    </row>
    <row r="177">
      <c r="D177" s="13"/>
      <c r="E177" s="182"/>
      <c r="G177" s="122"/>
      <c r="H177" s="182"/>
      <c r="I177" s="13"/>
      <c r="J177" s="13"/>
      <c r="L177" s="140"/>
      <c r="M177" s="140"/>
    </row>
    <row r="178">
      <c r="D178" s="13"/>
      <c r="E178" s="182"/>
      <c r="G178" s="122"/>
      <c r="H178" s="182"/>
      <c r="I178" s="13"/>
      <c r="J178" s="13"/>
      <c r="L178" s="140"/>
      <c r="M178" s="140"/>
    </row>
    <row r="179">
      <c r="D179" s="13"/>
      <c r="E179" s="182"/>
      <c r="G179" s="122"/>
      <c r="H179" s="182"/>
      <c r="I179" s="13"/>
      <c r="J179" s="13"/>
      <c r="L179" s="140"/>
      <c r="M179" s="140"/>
    </row>
    <row r="180">
      <c r="D180" s="13"/>
      <c r="E180" s="182"/>
      <c r="G180" s="122"/>
      <c r="H180" s="182"/>
      <c r="I180" s="13"/>
      <c r="J180" s="13"/>
      <c r="L180" s="140"/>
      <c r="M180" s="140"/>
    </row>
    <row r="181">
      <c r="D181" s="13"/>
      <c r="E181" s="182"/>
      <c r="G181" s="122"/>
      <c r="H181" s="182"/>
      <c r="I181" s="13"/>
      <c r="J181" s="13"/>
      <c r="L181" s="140"/>
      <c r="M181" s="140"/>
    </row>
    <row r="182">
      <c r="D182" s="13"/>
      <c r="E182" s="182"/>
      <c r="G182" s="122"/>
      <c r="H182" s="182"/>
      <c r="I182" s="13"/>
      <c r="J182" s="13"/>
      <c r="L182" s="140"/>
      <c r="M182" s="140"/>
    </row>
    <row r="183">
      <c r="D183" s="13"/>
      <c r="E183" s="182"/>
      <c r="G183" s="122"/>
      <c r="H183" s="182"/>
      <c r="I183" s="13"/>
      <c r="J183" s="13"/>
      <c r="L183" s="140"/>
      <c r="M183" s="140"/>
    </row>
    <row r="184">
      <c r="D184" s="13"/>
      <c r="E184" s="182"/>
      <c r="G184" s="122"/>
      <c r="H184" s="182"/>
      <c r="I184" s="13"/>
      <c r="J184" s="13"/>
      <c r="L184" s="140"/>
      <c r="M184" s="140"/>
    </row>
    <row r="185">
      <c r="D185" s="13"/>
      <c r="E185" s="182"/>
      <c r="G185" s="122"/>
      <c r="H185" s="182"/>
      <c r="I185" s="13"/>
      <c r="J185" s="13"/>
      <c r="L185" s="140"/>
      <c r="M185" s="140"/>
    </row>
    <row r="186">
      <c r="D186" s="13"/>
      <c r="E186" s="182"/>
      <c r="G186" s="122"/>
      <c r="H186" s="182"/>
      <c r="I186" s="13"/>
      <c r="J186" s="13"/>
      <c r="L186" s="140"/>
      <c r="M186" s="140"/>
    </row>
    <row r="187">
      <c r="D187" s="13"/>
      <c r="E187" s="182"/>
      <c r="G187" s="122"/>
      <c r="H187" s="182"/>
      <c r="I187" s="13"/>
      <c r="J187" s="13"/>
      <c r="L187" s="140"/>
      <c r="M187" s="140"/>
    </row>
    <row r="188">
      <c r="D188" s="13"/>
      <c r="E188" s="182"/>
      <c r="G188" s="122"/>
      <c r="H188" s="182"/>
      <c r="I188" s="13"/>
      <c r="J188" s="13"/>
      <c r="L188" s="140"/>
      <c r="M188" s="140"/>
    </row>
    <row r="189">
      <c r="D189" s="13"/>
      <c r="E189" s="182"/>
      <c r="G189" s="122"/>
      <c r="H189" s="182"/>
      <c r="I189" s="13"/>
      <c r="J189" s="13"/>
      <c r="L189" s="140"/>
      <c r="M189" s="140"/>
    </row>
    <row r="190">
      <c r="D190" s="13"/>
      <c r="E190" s="182"/>
      <c r="G190" s="122"/>
      <c r="H190" s="182"/>
      <c r="I190" s="13"/>
      <c r="J190" s="13"/>
      <c r="L190" s="140"/>
      <c r="M190" s="140"/>
    </row>
    <row r="191">
      <c r="D191" s="13"/>
      <c r="E191" s="182"/>
      <c r="G191" s="122"/>
      <c r="H191" s="182"/>
      <c r="I191" s="13"/>
      <c r="J191" s="13"/>
      <c r="L191" s="140"/>
      <c r="M191" s="140"/>
    </row>
    <row r="192">
      <c r="D192" s="13"/>
      <c r="E192" s="182"/>
      <c r="G192" s="122"/>
      <c r="H192" s="182"/>
      <c r="I192" s="13"/>
      <c r="J192" s="13"/>
      <c r="L192" s="140"/>
      <c r="M192" s="140"/>
    </row>
    <row r="193">
      <c r="D193" s="13"/>
      <c r="E193" s="182"/>
      <c r="G193" s="122"/>
      <c r="H193" s="182"/>
      <c r="I193" s="13"/>
      <c r="J193" s="13"/>
      <c r="L193" s="140"/>
      <c r="M193" s="140"/>
    </row>
    <row r="194">
      <c r="D194" s="13"/>
      <c r="E194" s="182"/>
      <c r="G194" s="122"/>
      <c r="H194" s="182"/>
      <c r="I194" s="13"/>
      <c r="J194" s="13"/>
      <c r="L194" s="140"/>
      <c r="M194" s="140"/>
    </row>
    <row r="195">
      <c r="D195" s="13"/>
      <c r="E195" s="182"/>
      <c r="G195" s="122"/>
      <c r="H195" s="182"/>
      <c r="I195" s="13"/>
      <c r="J195" s="13"/>
      <c r="L195" s="140"/>
      <c r="M195" s="140"/>
    </row>
    <row r="196">
      <c r="D196" s="13"/>
      <c r="E196" s="182"/>
      <c r="G196" s="122"/>
      <c r="H196" s="182"/>
      <c r="I196" s="13"/>
      <c r="J196" s="13"/>
      <c r="L196" s="140"/>
      <c r="M196" s="140"/>
    </row>
    <row r="197">
      <c r="D197" s="13"/>
      <c r="E197" s="182"/>
      <c r="G197" s="122"/>
      <c r="H197" s="182"/>
      <c r="I197" s="13"/>
      <c r="J197" s="13"/>
      <c r="L197" s="140"/>
      <c r="M197" s="140"/>
    </row>
    <row r="198">
      <c r="D198" s="13"/>
      <c r="E198" s="182"/>
      <c r="G198" s="122"/>
      <c r="H198" s="182"/>
      <c r="I198" s="13"/>
      <c r="J198" s="13"/>
      <c r="L198" s="140"/>
      <c r="M198" s="140"/>
    </row>
    <row r="199">
      <c r="D199" s="13"/>
      <c r="E199" s="182"/>
      <c r="G199" s="122"/>
      <c r="H199" s="182"/>
      <c r="I199" s="13"/>
      <c r="J199" s="13"/>
      <c r="L199" s="140"/>
      <c r="M199" s="140"/>
    </row>
    <row r="200">
      <c r="D200" s="13"/>
      <c r="E200" s="182"/>
      <c r="G200" s="122"/>
      <c r="H200" s="182"/>
      <c r="I200" s="13"/>
      <c r="J200" s="13"/>
      <c r="L200" s="140"/>
      <c r="M200" s="140"/>
    </row>
    <row r="201">
      <c r="D201" s="13"/>
      <c r="E201" s="182"/>
      <c r="G201" s="122"/>
      <c r="H201" s="182"/>
      <c r="I201" s="13"/>
      <c r="J201" s="13"/>
      <c r="L201" s="140"/>
      <c r="M201" s="140"/>
    </row>
    <row r="202">
      <c r="D202" s="13"/>
      <c r="E202" s="182"/>
      <c r="G202" s="122"/>
      <c r="H202" s="182"/>
      <c r="I202" s="13"/>
      <c r="J202" s="13"/>
      <c r="L202" s="140"/>
      <c r="M202" s="140"/>
    </row>
    <row r="203">
      <c r="D203" s="13"/>
      <c r="E203" s="182"/>
      <c r="G203" s="122"/>
      <c r="H203" s="182"/>
      <c r="I203" s="13"/>
      <c r="J203" s="13"/>
      <c r="L203" s="140"/>
      <c r="M203" s="140"/>
    </row>
    <row r="204">
      <c r="D204" s="13"/>
      <c r="E204" s="182"/>
      <c r="G204" s="122"/>
      <c r="H204" s="182"/>
      <c r="I204" s="13"/>
      <c r="J204" s="13"/>
      <c r="L204" s="140"/>
      <c r="M204" s="140"/>
    </row>
    <row r="205">
      <c r="D205" s="13"/>
      <c r="E205" s="182"/>
      <c r="G205" s="122"/>
      <c r="H205" s="182"/>
      <c r="I205" s="13"/>
      <c r="J205" s="13"/>
      <c r="L205" s="140"/>
      <c r="M205" s="140"/>
    </row>
    <row r="206">
      <c r="D206" s="13"/>
      <c r="E206" s="182"/>
      <c r="G206" s="122"/>
      <c r="H206" s="182"/>
      <c r="I206" s="13"/>
      <c r="J206" s="13"/>
      <c r="L206" s="140"/>
      <c r="M206" s="140"/>
    </row>
    <row r="207">
      <c r="D207" s="13"/>
      <c r="E207" s="182"/>
      <c r="G207" s="122"/>
      <c r="H207" s="182"/>
      <c r="I207" s="13"/>
      <c r="J207" s="13"/>
      <c r="L207" s="140"/>
      <c r="M207" s="140"/>
    </row>
    <row r="208">
      <c r="D208" s="13"/>
      <c r="E208" s="182"/>
      <c r="G208" s="122"/>
      <c r="H208" s="182"/>
      <c r="I208" s="13"/>
      <c r="J208" s="13"/>
      <c r="L208" s="140"/>
      <c r="M208" s="140"/>
    </row>
    <row r="209">
      <c r="D209" s="13"/>
      <c r="E209" s="182"/>
      <c r="G209" s="122"/>
      <c r="H209" s="182"/>
      <c r="I209" s="13"/>
      <c r="J209" s="13"/>
      <c r="L209" s="140"/>
      <c r="M209" s="140"/>
    </row>
    <row r="210">
      <c r="D210" s="13"/>
      <c r="E210" s="182"/>
      <c r="G210" s="122"/>
      <c r="H210" s="182"/>
      <c r="I210" s="13"/>
      <c r="J210" s="13"/>
      <c r="L210" s="140"/>
      <c r="M210" s="140"/>
    </row>
    <row r="211">
      <c r="D211" s="13"/>
      <c r="E211" s="182"/>
      <c r="G211" s="122"/>
      <c r="H211" s="182"/>
      <c r="I211" s="13"/>
      <c r="J211" s="13"/>
      <c r="L211" s="140"/>
      <c r="M211" s="140"/>
    </row>
    <row r="212">
      <c r="D212" s="13"/>
      <c r="E212" s="182"/>
      <c r="G212" s="122"/>
      <c r="H212" s="182"/>
      <c r="I212" s="13"/>
      <c r="J212" s="13"/>
      <c r="L212" s="140"/>
      <c r="M212" s="140"/>
    </row>
    <row r="213">
      <c r="D213" s="13"/>
      <c r="E213" s="182"/>
      <c r="G213" s="122"/>
      <c r="H213" s="182"/>
      <c r="I213" s="13"/>
      <c r="J213" s="13"/>
      <c r="L213" s="140"/>
      <c r="M213" s="140"/>
    </row>
    <row r="214">
      <c r="D214" s="13"/>
      <c r="E214" s="182"/>
      <c r="G214" s="122"/>
      <c r="H214" s="182"/>
      <c r="I214" s="13"/>
      <c r="J214" s="13"/>
      <c r="L214" s="140"/>
      <c r="M214" s="140"/>
    </row>
    <row r="215">
      <c r="D215" s="13"/>
      <c r="E215" s="182"/>
      <c r="G215" s="122"/>
      <c r="H215" s="182"/>
      <c r="I215" s="13"/>
      <c r="J215" s="13"/>
      <c r="L215" s="140"/>
      <c r="M215" s="140"/>
    </row>
    <row r="216">
      <c r="D216" s="13"/>
      <c r="E216" s="182"/>
      <c r="G216" s="122"/>
      <c r="H216" s="182"/>
      <c r="I216" s="13"/>
      <c r="J216" s="13"/>
      <c r="L216" s="140"/>
      <c r="M216" s="140"/>
    </row>
    <row r="217">
      <c r="D217" s="13"/>
      <c r="E217" s="182"/>
      <c r="G217" s="122"/>
      <c r="H217" s="182"/>
      <c r="I217" s="13"/>
      <c r="J217" s="13"/>
      <c r="L217" s="140"/>
      <c r="M217" s="140"/>
    </row>
    <row r="218">
      <c r="D218" s="13"/>
      <c r="E218" s="182"/>
      <c r="G218" s="122"/>
      <c r="H218" s="182"/>
      <c r="I218" s="13"/>
      <c r="J218" s="13"/>
      <c r="L218" s="140"/>
      <c r="M218" s="140"/>
    </row>
    <row r="219">
      <c r="D219" s="13"/>
      <c r="E219" s="182"/>
      <c r="G219" s="122"/>
      <c r="H219" s="182"/>
      <c r="I219" s="13"/>
      <c r="J219" s="13"/>
      <c r="L219" s="140"/>
      <c r="M219" s="140"/>
    </row>
    <row r="220">
      <c r="D220" s="13"/>
      <c r="E220" s="182"/>
      <c r="G220" s="122"/>
      <c r="H220" s="182"/>
      <c r="I220" s="13"/>
      <c r="J220" s="13"/>
      <c r="L220" s="140"/>
      <c r="M220" s="140"/>
    </row>
    <row r="221">
      <c r="D221" s="13"/>
      <c r="E221" s="182"/>
      <c r="G221" s="122"/>
      <c r="H221" s="182"/>
      <c r="I221" s="13"/>
      <c r="J221" s="13"/>
      <c r="L221" s="140"/>
      <c r="M221" s="140"/>
    </row>
    <row r="222">
      <c r="D222" s="13"/>
      <c r="E222" s="182"/>
      <c r="G222" s="122"/>
      <c r="H222" s="182"/>
      <c r="I222" s="13"/>
      <c r="J222" s="13"/>
      <c r="L222" s="140"/>
      <c r="M222" s="140"/>
    </row>
    <row r="223">
      <c r="D223" s="13"/>
      <c r="E223" s="182"/>
      <c r="G223" s="122"/>
      <c r="H223" s="182"/>
      <c r="I223" s="13"/>
      <c r="J223" s="13"/>
      <c r="L223" s="140"/>
      <c r="M223" s="140"/>
    </row>
    <row r="224">
      <c r="D224" s="13"/>
      <c r="E224" s="182"/>
      <c r="G224" s="122"/>
      <c r="H224" s="182"/>
      <c r="I224" s="13"/>
      <c r="J224" s="13"/>
      <c r="L224" s="140"/>
      <c r="M224" s="140"/>
    </row>
    <row r="225">
      <c r="D225" s="13"/>
      <c r="E225" s="182"/>
      <c r="G225" s="122"/>
      <c r="H225" s="182"/>
      <c r="I225" s="13"/>
      <c r="J225" s="13"/>
      <c r="L225" s="140"/>
      <c r="M225" s="140"/>
    </row>
    <row r="226">
      <c r="D226" s="13"/>
      <c r="E226" s="182"/>
      <c r="G226" s="122"/>
      <c r="H226" s="182"/>
      <c r="I226" s="13"/>
      <c r="J226" s="13"/>
      <c r="L226" s="140"/>
      <c r="M226" s="140"/>
    </row>
    <row r="227">
      <c r="D227" s="13"/>
      <c r="E227" s="182"/>
      <c r="G227" s="122"/>
      <c r="H227" s="182"/>
      <c r="I227" s="13"/>
      <c r="J227" s="13"/>
      <c r="L227" s="140"/>
      <c r="M227" s="140"/>
    </row>
    <row r="228">
      <c r="D228" s="13"/>
      <c r="E228" s="182"/>
      <c r="G228" s="122"/>
      <c r="H228" s="182"/>
      <c r="I228" s="13"/>
      <c r="J228" s="13"/>
      <c r="L228" s="140"/>
      <c r="M228" s="140"/>
    </row>
    <row r="229">
      <c r="D229" s="13"/>
      <c r="E229" s="182"/>
      <c r="G229" s="122"/>
      <c r="H229" s="182"/>
      <c r="I229" s="13"/>
      <c r="J229" s="13"/>
      <c r="L229" s="140"/>
      <c r="M229" s="140"/>
    </row>
    <row r="230">
      <c r="D230" s="13"/>
      <c r="E230" s="182"/>
      <c r="G230" s="122"/>
      <c r="H230" s="182"/>
      <c r="I230" s="13"/>
      <c r="J230" s="13"/>
      <c r="L230" s="140"/>
      <c r="M230" s="140"/>
    </row>
    <row r="231">
      <c r="D231" s="13"/>
      <c r="E231" s="182"/>
      <c r="G231" s="122"/>
      <c r="H231" s="182"/>
      <c r="I231" s="13"/>
      <c r="J231" s="13"/>
      <c r="L231" s="140"/>
      <c r="M231" s="140"/>
    </row>
    <row r="232">
      <c r="D232" s="13"/>
      <c r="E232" s="182"/>
      <c r="G232" s="122"/>
      <c r="H232" s="182"/>
      <c r="I232" s="13"/>
      <c r="J232" s="13"/>
      <c r="L232" s="140"/>
      <c r="M232" s="140"/>
    </row>
    <row r="233">
      <c r="D233" s="13"/>
      <c r="E233" s="182"/>
      <c r="G233" s="122"/>
      <c r="H233" s="182"/>
      <c r="I233" s="13"/>
      <c r="J233" s="13"/>
      <c r="L233" s="140"/>
      <c r="M233" s="140"/>
    </row>
    <row r="234">
      <c r="D234" s="13"/>
      <c r="E234" s="182"/>
      <c r="G234" s="122"/>
      <c r="H234" s="182"/>
      <c r="I234" s="13"/>
      <c r="J234" s="13"/>
      <c r="L234" s="140"/>
      <c r="M234" s="140"/>
    </row>
    <row r="235">
      <c r="D235" s="13"/>
      <c r="E235" s="182"/>
      <c r="G235" s="122"/>
      <c r="H235" s="182"/>
      <c r="I235" s="13"/>
      <c r="J235" s="13"/>
      <c r="L235" s="140"/>
      <c r="M235" s="140"/>
    </row>
    <row r="236">
      <c r="D236" s="13"/>
      <c r="E236" s="182"/>
      <c r="G236" s="122"/>
      <c r="H236" s="182"/>
      <c r="I236" s="13"/>
      <c r="J236" s="13"/>
      <c r="L236" s="140"/>
      <c r="M236" s="140"/>
    </row>
    <row r="237">
      <c r="D237" s="13"/>
      <c r="E237" s="182"/>
      <c r="G237" s="122"/>
      <c r="H237" s="182"/>
      <c r="I237" s="13"/>
      <c r="J237" s="13"/>
      <c r="L237" s="140"/>
      <c r="M237" s="140"/>
    </row>
    <row r="238">
      <c r="D238" s="13"/>
      <c r="E238" s="182"/>
      <c r="G238" s="122"/>
      <c r="H238" s="182"/>
      <c r="I238" s="13"/>
      <c r="J238" s="13"/>
      <c r="L238" s="140"/>
      <c r="M238" s="140"/>
    </row>
    <row r="239">
      <c r="D239" s="13"/>
      <c r="E239" s="182"/>
      <c r="G239" s="122"/>
      <c r="H239" s="182"/>
      <c r="I239" s="13"/>
      <c r="J239" s="13"/>
      <c r="L239" s="140"/>
      <c r="M239" s="140"/>
    </row>
    <row r="240">
      <c r="D240" s="13"/>
      <c r="E240" s="182"/>
      <c r="G240" s="122"/>
      <c r="H240" s="182"/>
      <c r="I240" s="13"/>
      <c r="J240" s="13"/>
      <c r="L240" s="140"/>
      <c r="M240" s="140"/>
    </row>
    <row r="241">
      <c r="D241" s="13"/>
      <c r="E241" s="182"/>
      <c r="G241" s="122"/>
      <c r="H241" s="182"/>
      <c r="I241" s="13"/>
      <c r="J241" s="13"/>
      <c r="L241" s="140"/>
      <c r="M241" s="140"/>
    </row>
    <row r="242">
      <c r="D242" s="13"/>
      <c r="E242" s="182"/>
      <c r="G242" s="122"/>
      <c r="H242" s="182"/>
      <c r="I242" s="13"/>
      <c r="J242" s="13"/>
      <c r="L242" s="140"/>
      <c r="M242" s="140"/>
    </row>
    <row r="243">
      <c r="D243" s="13"/>
      <c r="E243" s="182"/>
      <c r="G243" s="122"/>
      <c r="H243" s="182"/>
      <c r="I243" s="13"/>
      <c r="J243" s="13"/>
      <c r="L243" s="140"/>
      <c r="M243" s="140"/>
    </row>
    <row r="244">
      <c r="D244" s="13"/>
      <c r="E244" s="182"/>
      <c r="G244" s="122"/>
      <c r="H244" s="182"/>
      <c r="I244" s="13"/>
      <c r="J244" s="13"/>
      <c r="L244" s="140"/>
      <c r="M244" s="140"/>
    </row>
    <row r="245">
      <c r="D245" s="13"/>
      <c r="E245" s="182"/>
      <c r="G245" s="122"/>
      <c r="H245" s="182"/>
      <c r="I245" s="13"/>
      <c r="J245" s="13"/>
      <c r="L245" s="140"/>
      <c r="M245" s="140"/>
    </row>
    <row r="246">
      <c r="D246" s="13"/>
      <c r="E246" s="182"/>
      <c r="G246" s="122"/>
      <c r="H246" s="182"/>
      <c r="I246" s="13"/>
      <c r="J246" s="13"/>
      <c r="L246" s="140"/>
      <c r="M246" s="140"/>
    </row>
    <row r="247">
      <c r="D247" s="13"/>
      <c r="E247" s="182"/>
      <c r="G247" s="122"/>
      <c r="H247" s="182"/>
      <c r="I247" s="13"/>
      <c r="J247" s="13"/>
      <c r="L247" s="140"/>
      <c r="M247" s="140"/>
    </row>
    <row r="248">
      <c r="D248" s="13"/>
      <c r="E248" s="182"/>
      <c r="G248" s="122"/>
      <c r="H248" s="182"/>
      <c r="I248" s="13"/>
      <c r="J248" s="13"/>
      <c r="L248" s="140"/>
      <c r="M248" s="140"/>
    </row>
    <row r="249">
      <c r="D249" s="13"/>
      <c r="E249" s="182"/>
      <c r="G249" s="122"/>
      <c r="H249" s="182"/>
      <c r="I249" s="13"/>
      <c r="J249" s="13"/>
      <c r="L249" s="140"/>
      <c r="M249" s="140"/>
    </row>
    <row r="250">
      <c r="D250" s="13"/>
      <c r="E250" s="182"/>
      <c r="G250" s="122"/>
      <c r="H250" s="182"/>
      <c r="I250" s="13"/>
      <c r="J250" s="13"/>
      <c r="L250" s="140"/>
      <c r="M250" s="140"/>
    </row>
    <row r="251">
      <c r="D251" s="13"/>
      <c r="E251" s="182"/>
      <c r="G251" s="122"/>
      <c r="H251" s="182"/>
      <c r="I251" s="13"/>
      <c r="J251" s="13"/>
      <c r="L251" s="140"/>
      <c r="M251" s="140"/>
    </row>
    <row r="252">
      <c r="D252" s="13"/>
      <c r="E252" s="182"/>
      <c r="G252" s="122"/>
      <c r="H252" s="182"/>
      <c r="I252" s="13"/>
      <c r="J252" s="13"/>
      <c r="L252" s="140"/>
      <c r="M252" s="140"/>
    </row>
    <row r="253">
      <c r="D253" s="13"/>
      <c r="E253" s="182"/>
      <c r="G253" s="122"/>
      <c r="H253" s="182"/>
      <c r="I253" s="13"/>
      <c r="J253" s="13"/>
      <c r="L253" s="140"/>
      <c r="M253" s="140"/>
    </row>
    <row r="254">
      <c r="D254" s="13"/>
      <c r="E254" s="182"/>
      <c r="G254" s="122"/>
      <c r="H254" s="182"/>
      <c r="I254" s="13"/>
      <c r="J254" s="13"/>
      <c r="L254" s="140"/>
      <c r="M254" s="140"/>
    </row>
    <row r="255">
      <c r="D255" s="13"/>
      <c r="E255" s="182"/>
      <c r="G255" s="122"/>
      <c r="H255" s="182"/>
      <c r="I255" s="13"/>
      <c r="J255" s="13"/>
      <c r="L255" s="140"/>
      <c r="M255" s="140"/>
    </row>
    <row r="256">
      <c r="D256" s="13"/>
      <c r="E256" s="182"/>
      <c r="G256" s="122"/>
      <c r="H256" s="182"/>
      <c r="I256" s="13"/>
      <c r="J256" s="13"/>
      <c r="L256" s="140"/>
      <c r="M256" s="140"/>
    </row>
    <row r="257">
      <c r="D257" s="13"/>
      <c r="E257" s="182"/>
      <c r="G257" s="122"/>
      <c r="H257" s="182"/>
      <c r="I257" s="13"/>
      <c r="J257" s="13"/>
      <c r="L257" s="140"/>
      <c r="M257" s="140"/>
    </row>
    <row r="258">
      <c r="D258" s="13"/>
      <c r="E258" s="182"/>
      <c r="G258" s="122"/>
      <c r="H258" s="182"/>
      <c r="I258" s="13"/>
      <c r="J258" s="13"/>
      <c r="L258" s="140"/>
      <c r="M258" s="140"/>
    </row>
    <row r="259">
      <c r="D259" s="13"/>
      <c r="E259" s="182"/>
      <c r="G259" s="122"/>
      <c r="H259" s="182"/>
      <c r="I259" s="13"/>
      <c r="J259" s="13"/>
      <c r="L259" s="140"/>
      <c r="M259" s="140"/>
    </row>
    <row r="260">
      <c r="D260" s="13"/>
      <c r="E260" s="182"/>
      <c r="G260" s="122"/>
      <c r="H260" s="182"/>
      <c r="I260" s="13"/>
      <c r="J260" s="13"/>
      <c r="L260" s="140"/>
      <c r="M260" s="140"/>
    </row>
    <row r="261">
      <c r="D261" s="13"/>
      <c r="E261" s="182"/>
      <c r="G261" s="122"/>
      <c r="H261" s="182"/>
      <c r="I261" s="13"/>
      <c r="J261" s="13"/>
      <c r="L261" s="140"/>
      <c r="M261" s="140"/>
    </row>
    <row r="262">
      <c r="D262" s="13"/>
      <c r="E262" s="182"/>
      <c r="G262" s="122"/>
      <c r="H262" s="182"/>
      <c r="I262" s="13"/>
      <c r="J262" s="13"/>
      <c r="L262" s="140"/>
      <c r="M262" s="140"/>
    </row>
    <row r="263">
      <c r="D263" s="13"/>
      <c r="E263" s="182"/>
      <c r="G263" s="122"/>
      <c r="H263" s="182"/>
      <c r="I263" s="13"/>
      <c r="J263" s="13"/>
      <c r="L263" s="140"/>
      <c r="M263" s="140"/>
    </row>
    <row r="264">
      <c r="D264" s="13"/>
      <c r="E264" s="182"/>
      <c r="G264" s="122"/>
      <c r="H264" s="182"/>
      <c r="I264" s="13"/>
      <c r="J264" s="13"/>
      <c r="L264" s="140"/>
      <c r="M264" s="140"/>
    </row>
    <row r="265">
      <c r="D265" s="13"/>
      <c r="E265" s="182"/>
      <c r="G265" s="122"/>
      <c r="H265" s="182"/>
      <c r="I265" s="13"/>
      <c r="J265" s="13"/>
      <c r="L265" s="140"/>
      <c r="M265" s="140"/>
    </row>
    <row r="266">
      <c r="D266" s="13"/>
      <c r="E266" s="182"/>
      <c r="G266" s="122"/>
      <c r="H266" s="182"/>
      <c r="I266" s="13"/>
      <c r="J266" s="13"/>
      <c r="L266" s="140"/>
      <c r="M266" s="140"/>
    </row>
    <row r="267">
      <c r="D267" s="13"/>
      <c r="E267" s="182"/>
      <c r="G267" s="122"/>
      <c r="H267" s="182"/>
      <c r="I267" s="13"/>
      <c r="J267" s="13"/>
      <c r="L267" s="140"/>
      <c r="M267" s="140"/>
    </row>
    <row r="268">
      <c r="D268" s="13"/>
      <c r="E268" s="182"/>
      <c r="G268" s="122"/>
      <c r="H268" s="182"/>
      <c r="I268" s="13"/>
      <c r="J268" s="13"/>
      <c r="L268" s="140"/>
      <c r="M268" s="140"/>
    </row>
    <row r="269">
      <c r="D269" s="13"/>
      <c r="E269" s="182"/>
      <c r="G269" s="122"/>
      <c r="H269" s="182"/>
      <c r="I269" s="13"/>
      <c r="J269" s="13"/>
      <c r="L269" s="140"/>
      <c r="M269" s="140"/>
    </row>
    <row r="270">
      <c r="D270" s="13"/>
      <c r="E270" s="182"/>
      <c r="G270" s="122"/>
      <c r="H270" s="182"/>
      <c r="I270" s="13"/>
      <c r="J270" s="13"/>
      <c r="L270" s="140"/>
      <c r="M270" s="140"/>
    </row>
    <row r="271">
      <c r="D271" s="13"/>
      <c r="E271" s="182"/>
      <c r="G271" s="122"/>
      <c r="H271" s="182"/>
      <c r="I271" s="13"/>
      <c r="J271" s="13"/>
      <c r="L271" s="140"/>
      <c r="M271" s="140"/>
    </row>
    <row r="272">
      <c r="D272" s="13"/>
      <c r="E272" s="182"/>
      <c r="G272" s="122"/>
      <c r="H272" s="182"/>
      <c r="I272" s="13"/>
      <c r="J272" s="13"/>
      <c r="L272" s="140"/>
      <c r="M272" s="140"/>
    </row>
    <row r="273">
      <c r="D273" s="13"/>
      <c r="E273" s="182"/>
      <c r="G273" s="122"/>
      <c r="H273" s="182"/>
      <c r="I273" s="13"/>
      <c r="J273" s="13"/>
      <c r="L273" s="140"/>
      <c r="M273" s="140"/>
    </row>
    <row r="274">
      <c r="D274" s="13"/>
      <c r="E274" s="182"/>
      <c r="G274" s="122"/>
      <c r="H274" s="182"/>
      <c r="I274" s="13"/>
      <c r="J274" s="13"/>
      <c r="L274" s="140"/>
      <c r="M274" s="140"/>
    </row>
    <row r="275">
      <c r="D275" s="13"/>
      <c r="E275" s="182"/>
      <c r="G275" s="122"/>
      <c r="H275" s="182"/>
      <c r="I275" s="13"/>
      <c r="J275" s="13"/>
      <c r="L275" s="140"/>
      <c r="M275" s="140"/>
    </row>
    <row r="276">
      <c r="D276" s="13"/>
      <c r="E276" s="182"/>
      <c r="G276" s="122"/>
      <c r="H276" s="182"/>
      <c r="I276" s="13"/>
      <c r="J276" s="13"/>
      <c r="L276" s="140"/>
      <c r="M276" s="140"/>
    </row>
    <row r="277">
      <c r="D277" s="13"/>
      <c r="E277" s="182"/>
      <c r="G277" s="122"/>
      <c r="H277" s="182"/>
      <c r="I277" s="13"/>
      <c r="J277" s="13"/>
      <c r="L277" s="140"/>
      <c r="M277" s="140"/>
    </row>
    <row r="278">
      <c r="D278" s="13"/>
      <c r="E278" s="182"/>
      <c r="G278" s="122"/>
      <c r="H278" s="182"/>
      <c r="I278" s="13"/>
      <c r="J278" s="13"/>
      <c r="L278" s="140"/>
      <c r="M278" s="140"/>
    </row>
    <row r="279">
      <c r="D279" s="13"/>
      <c r="E279" s="182"/>
      <c r="G279" s="122"/>
      <c r="H279" s="182"/>
      <c r="I279" s="13"/>
      <c r="J279" s="13"/>
      <c r="L279" s="140"/>
      <c r="M279" s="140"/>
    </row>
    <row r="280">
      <c r="D280" s="13"/>
      <c r="E280" s="182"/>
      <c r="G280" s="122"/>
      <c r="H280" s="182"/>
      <c r="I280" s="13"/>
      <c r="J280" s="13"/>
      <c r="L280" s="140"/>
      <c r="M280" s="140"/>
    </row>
    <row r="281">
      <c r="D281" s="13"/>
      <c r="E281" s="182"/>
      <c r="G281" s="122"/>
      <c r="H281" s="182"/>
      <c r="I281" s="13"/>
      <c r="J281" s="13"/>
      <c r="L281" s="140"/>
      <c r="M281" s="140"/>
    </row>
    <row r="282">
      <c r="D282" s="13"/>
      <c r="E282" s="182"/>
      <c r="G282" s="122"/>
      <c r="H282" s="182"/>
      <c r="I282" s="13"/>
      <c r="J282" s="13"/>
      <c r="L282" s="140"/>
      <c r="M282" s="140"/>
    </row>
    <row r="283">
      <c r="D283" s="13"/>
      <c r="E283" s="182"/>
      <c r="G283" s="122"/>
      <c r="H283" s="182"/>
      <c r="I283" s="13"/>
      <c r="J283" s="13"/>
      <c r="L283" s="140"/>
      <c r="M283" s="140"/>
    </row>
    <row r="284">
      <c r="D284" s="13"/>
      <c r="E284" s="182"/>
      <c r="G284" s="122"/>
      <c r="H284" s="182"/>
      <c r="I284" s="13"/>
      <c r="J284" s="13"/>
      <c r="L284" s="140"/>
      <c r="M284" s="140"/>
    </row>
    <row r="285">
      <c r="D285" s="13"/>
      <c r="E285" s="182"/>
      <c r="G285" s="122"/>
      <c r="H285" s="182"/>
      <c r="I285" s="13"/>
      <c r="J285" s="13"/>
      <c r="L285" s="140"/>
      <c r="M285" s="140"/>
    </row>
    <row r="286">
      <c r="D286" s="13"/>
      <c r="E286" s="182"/>
      <c r="G286" s="122"/>
      <c r="H286" s="182"/>
      <c r="I286" s="13"/>
      <c r="J286" s="13"/>
      <c r="L286" s="140"/>
      <c r="M286" s="140"/>
    </row>
    <row r="287">
      <c r="D287" s="13"/>
      <c r="E287" s="182"/>
      <c r="G287" s="122"/>
      <c r="H287" s="182"/>
      <c r="I287" s="13"/>
      <c r="J287" s="13"/>
      <c r="L287" s="140"/>
      <c r="M287" s="140"/>
    </row>
    <row r="288">
      <c r="D288" s="13"/>
      <c r="E288" s="182"/>
      <c r="G288" s="122"/>
      <c r="H288" s="182"/>
      <c r="I288" s="13"/>
      <c r="J288" s="13"/>
      <c r="L288" s="140"/>
      <c r="M288" s="140"/>
    </row>
    <row r="289">
      <c r="D289" s="13"/>
      <c r="E289" s="182"/>
      <c r="G289" s="122"/>
      <c r="H289" s="182"/>
      <c r="I289" s="13"/>
      <c r="J289" s="13"/>
      <c r="L289" s="140"/>
      <c r="M289" s="140"/>
    </row>
    <row r="290">
      <c r="D290" s="13"/>
      <c r="E290" s="182"/>
      <c r="G290" s="122"/>
      <c r="H290" s="182"/>
      <c r="I290" s="13"/>
      <c r="J290" s="13"/>
      <c r="L290" s="140"/>
      <c r="M290" s="140"/>
    </row>
    <row r="291">
      <c r="D291" s="13"/>
      <c r="E291" s="182"/>
      <c r="G291" s="122"/>
      <c r="H291" s="182"/>
      <c r="I291" s="13"/>
      <c r="J291" s="13"/>
      <c r="L291" s="140"/>
      <c r="M291" s="140"/>
    </row>
    <row r="292">
      <c r="D292" s="13"/>
      <c r="E292" s="182"/>
      <c r="G292" s="122"/>
      <c r="H292" s="182"/>
      <c r="I292" s="13"/>
      <c r="J292" s="13"/>
      <c r="L292" s="140"/>
      <c r="M292" s="140"/>
    </row>
    <row r="293">
      <c r="D293" s="13"/>
      <c r="E293" s="182"/>
      <c r="G293" s="122"/>
      <c r="H293" s="182"/>
      <c r="I293" s="13"/>
      <c r="J293" s="13"/>
      <c r="L293" s="140"/>
      <c r="M293" s="140"/>
    </row>
    <row r="294">
      <c r="D294" s="13"/>
      <c r="E294" s="182"/>
      <c r="G294" s="122"/>
      <c r="H294" s="182"/>
      <c r="I294" s="13"/>
      <c r="J294" s="13"/>
      <c r="L294" s="140"/>
      <c r="M294" s="140"/>
    </row>
    <row r="295">
      <c r="D295" s="13"/>
      <c r="E295" s="182"/>
      <c r="G295" s="122"/>
      <c r="H295" s="182"/>
      <c r="I295" s="13"/>
      <c r="J295" s="13"/>
      <c r="L295" s="140"/>
      <c r="M295" s="140"/>
    </row>
    <row r="296">
      <c r="D296" s="13"/>
      <c r="E296" s="182"/>
      <c r="G296" s="122"/>
      <c r="H296" s="182"/>
      <c r="I296" s="13"/>
      <c r="J296" s="13"/>
      <c r="L296" s="140"/>
      <c r="M296" s="140"/>
    </row>
    <row r="297">
      <c r="D297" s="13"/>
      <c r="E297" s="182"/>
      <c r="G297" s="122"/>
      <c r="H297" s="182"/>
      <c r="I297" s="13"/>
      <c r="J297" s="13"/>
      <c r="L297" s="140"/>
      <c r="M297" s="140"/>
    </row>
    <row r="298">
      <c r="D298" s="13"/>
      <c r="E298" s="182"/>
      <c r="G298" s="122"/>
      <c r="H298" s="182"/>
      <c r="I298" s="13"/>
      <c r="J298" s="13"/>
      <c r="L298" s="140"/>
      <c r="M298" s="140"/>
    </row>
    <row r="299">
      <c r="D299" s="13"/>
      <c r="E299" s="182"/>
      <c r="G299" s="122"/>
      <c r="H299" s="182"/>
      <c r="I299" s="13"/>
      <c r="J299" s="13"/>
      <c r="L299" s="140"/>
      <c r="M299" s="140"/>
    </row>
    <row r="300">
      <c r="D300" s="13"/>
      <c r="E300" s="182"/>
      <c r="G300" s="122"/>
      <c r="H300" s="182"/>
      <c r="I300" s="13"/>
      <c r="J300" s="13"/>
      <c r="L300" s="140"/>
      <c r="M300" s="140"/>
    </row>
    <row r="301">
      <c r="D301" s="13"/>
      <c r="E301" s="182"/>
      <c r="G301" s="122"/>
      <c r="H301" s="182"/>
      <c r="I301" s="13"/>
      <c r="J301" s="13"/>
      <c r="L301" s="140"/>
      <c r="M301" s="140"/>
    </row>
    <row r="302">
      <c r="D302" s="13"/>
      <c r="E302" s="182"/>
      <c r="G302" s="122"/>
      <c r="H302" s="182"/>
      <c r="I302" s="13"/>
      <c r="J302" s="13"/>
      <c r="L302" s="140"/>
      <c r="M302" s="140"/>
    </row>
    <row r="303">
      <c r="D303" s="13"/>
      <c r="E303" s="182"/>
      <c r="G303" s="122"/>
      <c r="H303" s="182"/>
      <c r="I303" s="13"/>
      <c r="J303" s="13"/>
      <c r="L303" s="140"/>
      <c r="M303" s="140"/>
    </row>
    <row r="304">
      <c r="D304" s="13"/>
      <c r="E304" s="182"/>
      <c r="G304" s="122"/>
      <c r="H304" s="182"/>
      <c r="I304" s="13"/>
      <c r="J304" s="13"/>
      <c r="L304" s="140"/>
      <c r="M304" s="140"/>
    </row>
    <row r="305">
      <c r="D305" s="13"/>
      <c r="E305" s="182"/>
      <c r="G305" s="122"/>
      <c r="H305" s="182"/>
      <c r="I305" s="13"/>
      <c r="J305" s="13"/>
      <c r="L305" s="140"/>
      <c r="M305" s="140"/>
    </row>
    <row r="306">
      <c r="D306" s="13"/>
      <c r="E306" s="182"/>
      <c r="G306" s="122"/>
      <c r="H306" s="182"/>
      <c r="I306" s="13"/>
      <c r="J306" s="13"/>
      <c r="L306" s="140"/>
      <c r="M306" s="140"/>
    </row>
    <row r="307">
      <c r="D307" s="13"/>
      <c r="E307" s="182"/>
      <c r="G307" s="122"/>
      <c r="H307" s="182"/>
      <c r="I307" s="13"/>
      <c r="J307" s="13"/>
      <c r="L307" s="140"/>
      <c r="M307" s="140"/>
    </row>
    <row r="308">
      <c r="D308" s="13"/>
      <c r="E308" s="182"/>
      <c r="G308" s="122"/>
      <c r="H308" s="182"/>
      <c r="I308" s="13"/>
      <c r="J308" s="13"/>
      <c r="L308" s="140"/>
      <c r="M308" s="140"/>
    </row>
    <row r="309">
      <c r="D309" s="13"/>
      <c r="E309" s="182"/>
      <c r="G309" s="122"/>
      <c r="H309" s="182"/>
      <c r="I309" s="13"/>
      <c r="J309" s="13"/>
      <c r="L309" s="140"/>
      <c r="M309" s="140"/>
    </row>
    <row r="310">
      <c r="D310" s="13"/>
      <c r="E310" s="182"/>
      <c r="G310" s="122"/>
      <c r="H310" s="182"/>
      <c r="I310" s="13"/>
      <c r="J310" s="13"/>
      <c r="L310" s="140"/>
      <c r="M310" s="140"/>
    </row>
    <row r="311">
      <c r="D311" s="13"/>
      <c r="E311" s="182"/>
      <c r="G311" s="122"/>
      <c r="H311" s="182"/>
      <c r="I311" s="13"/>
      <c r="J311" s="13"/>
      <c r="L311" s="140"/>
      <c r="M311" s="140"/>
    </row>
    <row r="312">
      <c r="D312" s="13"/>
      <c r="E312" s="182"/>
      <c r="G312" s="122"/>
      <c r="H312" s="182"/>
      <c r="I312" s="13"/>
      <c r="J312" s="13"/>
      <c r="L312" s="140"/>
      <c r="M312" s="140"/>
    </row>
    <row r="313">
      <c r="D313" s="13"/>
      <c r="E313" s="182"/>
      <c r="G313" s="122"/>
      <c r="H313" s="182"/>
      <c r="I313" s="13"/>
      <c r="J313" s="13"/>
      <c r="L313" s="140"/>
      <c r="M313" s="140"/>
    </row>
    <row r="314">
      <c r="D314" s="13"/>
      <c r="E314" s="182"/>
      <c r="G314" s="122"/>
      <c r="H314" s="182"/>
      <c r="I314" s="13"/>
      <c r="J314" s="13"/>
      <c r="L314" s="140"/>
      <c r="M314" s="140"/>
    </row>
    <row r="315">
      <c r="D315" s="13"/>
      <c r="E315" s="182"/>
      <c r="G315" s="122"/>
      <c r="H315" s="182"/>
      <c r="I315" s="13"/>
      <c r="J315" s="13"/>
      <c r="L315" s="140"/>
      <c r="M315" s="140"/>
    </row>
    <row r="316">
      <c r="D316" s="13"/>
      <c r="E316" s="182"/>
      <c r="G316" s="122"/>
      <c r="H316" s="182"/>
      <c r="I316" s="13"/>
      <c r="J316" s="13"/>
      <c r="L316" s="140"/>
      <c r="M316" s="140"/>
    </row>
    <row r="317">
      <c r="D317" s="13"/>
      <c r="E317" s="182"/>
      <c r="G317" s="122"/>
      <c r="H317" s="182"/>
      <c r="I317" s="13"/>
      <c r="J317" s="13"/>
      <c r="L317" s="140"/>
      <c r="M317" s="140"/>
    </row>
    <row r="318">
      <c r="D318" s="13"/>
      <c r="E318" s="182"/>
      <c r="G318" s="122"/>
      <c r="H318" s="182"/>
      <c r="I318" s="13"/>
      <c r="J318" s="13"/>
      <c r="L318" s="140"/>
      <c r="M318" s="140"/>
    </row>
    <row r="319">
      <c r="D319" s="13"/>
      <c r="E319" s="182"/>
      <c r="G319" s="122"/>
      <c r="H319" s="182"/>
      <c r="I319" s="13"/>
      <c r="J319" s="13"/>
      <c r="L319" s="140"/>
      <c r="M319" s="140"/>
    </row>
    <row r="320">
      <c r="D320" s="13"/>
      <c r="E320" s="182"/>
      <c r="G320" s="122"/>
      <c r="H320" s="182"/>
      <c r="I320" s="13"/>
      <c r="J320" s="13"/>
      <c r="L320" s="140"/>
      <c r="M320" s="140"/>
    </row>
    <row r="321">
      <c r="D321" s="13"/>
      <c r="E321" s="182"/>
      <c r="G321" s="122"/>
      <c r="H321" s="182"/>
      <c r="I321" s="13"/>
      <c r="J321" s="13"/>
      <c r="L321" s="140"/>
      <c r="M321" s="140"/>
    </row>
    <row r="322">
      <c r="D322" s="13"/>
      <c r="E322" s="182"/>
      <c r="G322" s="122"/>
      <c r="H322" s="182"/>
      <c r="I322" s="13"/>
      <c r="J322" s="13"/>
      <c r="L322" s="140"/>
      <c r="M322" s="140"/>
    </row>
    <row r="323">
      <c r="D323" s="13"/>
      <c r="E323" s="182"/>
      <c r="G323" s="122"/>
      <c r="H323" s="182"/>
      <c r="I323" s="13"/>
      <c r="J323" s="13"/>
      <c r="L323" s="140"/>
      <c r="M323" s="140"/>
    </row>
    <row r="324">
      <c r="D324" s="13"/>
      <c r="E324" s="182"/>
      <c r="G324" s="122"/>
      <c r="H324" s="182"/>
      <c r="I324" s="13"/>
      <c r="J324" s="13"/>
      <c r="L324" s="140"/>
      <c r="M324" s="140"/>
    </row>
    <row r="325">
      <c r="D325" s="13"/>
      <c r="E325" s="182"/>
      <c r="G325" s="122"/>
      <c r="H325" s="182"/>
      <c r="I325" s="13"/>
      <c r="J325" s="13"/>
      <c r="L325" s="140"/>
      <c r="M325" s="140"/>
    </row>
    <row r="326">
      <c r="D326" s="13"/>
      <c r="E326" s="182"/>
      <c r="G326" s="122"/>
      <c r="H326" s="182"/>
      <c r="I326" s="13"/>
      <c r="J326" s="13"/>
      <c r="L326" s="140"/>
      <c r="M326" s="140"/>
    </row>
    <row r="327">
      <c r="D327" s="13"/>
      <c r="E327" s="182"/>
      <c r="G327" s="122"/>
      <c r="H327" s="182"/>
      <c r="I327" s="13"/>
      <c r="J327" s="13"/>
      <c r="L327" s="140"/>
      <c r="M327" s="140"/>
    </row>
    <row r="328">
      <c r="D328" s="13"/>
      <c r="E328" s="182"/>
      <c r="G328" s="122"/>
      <c r="H328" s="182"/>
      <c r="I328" s="13"/>
      <c r="J328" s="13"/>
      <c r="L328" s="140"/>
      <c r="M328" s="140"/>
    </row>
    <row r="329">
      <c r="D329" s="13"/>
      <c r="E329" s="182"/>
      <c r="G329" s="122"/>
      <c r="H329" s="182"/>
      <c r="I329" s="13"/>
      <c r="J329" s="13"/>
      <c r="L329" s="140"/>
      <c r="M329" s="140"/>
    </row>
    <row r="330">
      <c r="D330" s="13"/>
      <c r="E330" s="182"/>
      <c r="G330" s="122"/>
      <c r="H330" s="182"/>
      <c r="I330" s="13"/>
      <c r="J330" s="13"/>
      <c r="L330" s="140"/>
      <c r="M330" s="140"/>
    </row>
    <row r="331">
      <c r="D331" s="13"/>
      <c r="E331" s="182"/>
      <c r="G331" s="122"/>
      <c r="H331" s="182"/>
      <c r="I331" s="13"/>
      <c r="J331" s="13"/>
      <c r="L331" s="140"/>
      <c r="M331" s="140"/>
    </row>
    <row r="332">
      <c r="D332" s="13"/>
      <c r="E332" s="182"/>
      <c r="G332" s="122"/>
      <c r="H332" s="182"/>
      <c r="I332" s="13"/>
      <c r="J332" s="13"/>
      <c r="L332" s="140"/>
      <c r="M332" s="140"/>
    </row>
    <row r="333">
      <c r="D333" s="13"/>
      <c r="E333" s="182"/>
      <c r="G333" s="122"/>
      <c r="H333" s="182"/>
      <c r="I333" s="13"/>
      <c r="J333" s="13"/>
      <c r="L333" s="140"/>
      <c r="M333" s="140"/>
    </row>
    <row r="334">
      <c r="D334" s="13"/>
      <c r="E334" s="182"/>
      <c r="G334" s="122"/>
      <c r="H334" s="182"/>
      <c r="I334" s="13"/>
      <c r="J334" s="13"/>
      <c r="L334" s="140"/>
      <c r="M334" s="140"/>
    </row>
    <row r="335">
      <c r="D335" s="13"/>
      <c r="E335" s="182"/>
      <c r="G335" s="122"/>
      <c r="H335" s="182"/>
      <c r="I335" s="13"/>
      <c r="J335" s="13"/>
      <c r="L335" s="140"/>
      <c r="M335" s="140"/>
    </row>
    <row r="336">
      <c r="D336" s="13"/>
      <c r="E336" s="182"/>
      <c r="G336" s="122"/>
      <c r="H336" s="182"/>
      <c r="I336" s="13"/>
      <c r="J336" s="13"/>
      <c r="L336" s="140"/>
      <c r="M336" s="140"/>
    </row>
    <row r="337">
      <c r="D337" s="13"/>
      <c r="E337" s="182"/>
      <c r="G337" s="122"/>
      <c r="H337" s="182"/>
      <c r="I337" s="13"/>
      <c r="J337" s="13"/>
      <c r="L337" s="140"/>
      <c r="M337" s="140"/>
    </row>
    <row r="338">
      <c r="D338" s="13"/>
      <c r="E338" s="182"/>
      <c r="G338" s="122"/>
      <c r="H338" s="182"/>
      <c r="I338" s="13"/>
      <c r="J338" s="13"/>
      <c r="L338" s="140"/>
      <c r="M338" s="140"/>
    </row>
    <row r="339">
      <c r="D339" s="13"/>
      <c r="E339" s="182"/>
      <c r="G339" s="122"/>
      <c r="H339" s="182"/>
      <c r="I339" s="13"/>
      <c r="J339" s="13"/>
      <c r="L339" s="140"/>
      <c r="M339" s="140"/>
    </row>
    <row r="340">
      <c r="D340" s="13"/>
      <c r="E340" s="182"/>
      <c r="G340" s="122"/>
      <c r="H340" s="182"/>
      <c r="I340" s="13"/>
      <c r="J340" s="13"/>
      <c r="L340" s="140"/>
      <c r="M340" s="140"/>
    </row>
    <row r="341">
      <c r="D341" s="13"/>
      <c r="E341" s="182"/>
      <c r="G341" s="122"/>
      <c r="H341" s="182"/>
      <c r="I341" s="13"/>
      <c r="J341" s="13"/>
      <c r="L341" s="140"/>
      <c r="M341" s="140"/>
    </row>
    <row r="342">
      <c r="D342" s="13"/>
      <c r="E342" s="182"/>
      <c r="G342" s="122"/>
      <c r="H342" s="182"/>
      <c r="I342" s="13"/>
      <c r="J342" s="13"/>
      <c r="L342" s="140"/>
      <c r="M342" s="140"/>
    </row>
    <row r="343">
      <c r="D343" s="13"/>
      <c r="E343" s="182"/>
      <c r="G343" s="122"/>
      <c r="H343" s="182"/>
      <c r="I343" s="13"/>
      <c r="J343" s="13"/>
      <c r="L343" s="140"/>
      <c r="M343" s="140"/>
    </row>
    <row r="344">
      <c r="D344" s="13"/>
      <c r="E344" s="182"/>
      <c r="G344" s="122"/>
      <c r="H344" s="182"/>
      <c r="I344" s="13"/>
      <c r="J344" s="13"/>
      <c r="L344" s="140"/>
      <c r="M344" s="140"/>
    </row>
    <row r="345">
      <c r="D345" s="13"/>
      <c r="E345" s="182"/>
      <c r="G345" s="122"/>
      <c r="H345" s="182"/>
      <c r="I345" s="13"/>
      <c r="J345" s="13"/>
      <c r="L345" s="140"/>
      <c r="M345" s="140"/>
    </row>
    <row r="346">
      <c r="D346" s="13"/>
      <c r="E346" s="182"/>
      <c r="G346" s="122"/>
      <c r="H346" s="182"/>
      <c r="I346" s="13"/>
      <c r="J346" s="13"/>
      <c r="L346" s="140"/>
      <c r="M346" s="140"/>
    </row>
    <row r="347">
      <c r="D347" s="13"/>
      <c r="E347" s="182"/>
      <c r="G347" s="122"/>
      <c r="H347" s="182"/>
      <c r="I347" s="13"/>
      <c r="J347" s="13"/>
      <c r="L347" s="140"/>
      <c r="M347" s="140"/>
    </row>
    <row r="348">
      <c r="D348" s="13"/>
      <c r="E348" s="182"/>
      <c r="G348" s="122"/>
      <c r="H348" s="182"/>
      <c r="I348" s="13"/>
      <c r="J348" s="13"/>
      <c r="L348" s="140"/>
      <c r="M348" s="140"/>
    </row>
    <row r="349">
      <c r="D349" s="13"/>
      <c r="E349" s="182"/>
      <c r="G349" s="122"/>
      <c r="H349" s="182"/>
      <c r="I349" s="13"/>
      <c r="J349" s="13"/>
      <c r="L349" s="140"/>
      <c r="M349" s="140"/>
    </row>
    <row r="350">
      <c r="D350" s="13"/>
      <c r="E350" s="182"/>
      <c r="G350" s="122"/>
      <c r="H350" s="182"/>
      <c r="I350" s="13"/>
      <c r="J350" s="13"/>
      <c r="L350" s="140"/>
      <c r="M350" s="140"/>
    </row>
    <row r="351">
      <c r="D351" s="13"/>
      <c r="E351" s="182"/>
      <c r="G351" s="122"/>
      <c r="H351" s="182"/>
      <c r="I351" s="13"/>
      <c r="J351" s="13"/>
      <c r="L351" s="140"/>
      <c r="M351" s="140"/>
    </row>
    <row r="352">
      <c r="D352" s="13"/>
      <c r="E352" s="182"/>
      <c r="G352" s="122"/>
      <c r="H352" s="182"/>
      <c r="I352" s="13"/>
      <c r="J352" s="13"/>
      <c r="L352" s="140"/>
      <c r="M352" s="140"/>
    </row>
    <row r="353">
      <c r="D353" s="13"/>
      <c r="E353" s="182"/>
      <c r="G353" s="122"/>
      <c r="H353" s="182"/>
      <c r="I353" s="13"/>
      <c r="J353" s="13"/>
      <c r="L353" s="140"/>
      <c r="M353" s="140"/>
    </row>
    <row r="354">
      <c r="D354" s="13"/>
      <c r="E354" s="182"/>
      <c r="G354" s="122"/>
      <c r="H354" s="182"/>
      <c r="I354" s="13"/>
      <c r="J354" s="13"/>
      <c r="L354" s="140"/>
      <c r="M354" s="140"/>
    </row>
    <row r="355">
      <c r="D355" s="13"/>
      <c r="E355" s="182"/>
      <c r="G355" s="122"/>
      <c r="H355" s="182"/>
      <c r="I355" s="13"/>
      <c r="J355" s="13"/>
      <c r="L355" s="140"/>
      <c r="M355" s="140"/>
    </row>
    <row r="356">
      <c r="D356" s="13"/>
      <c r="E356" s="182"/>
      <c r="G356" s="122"/>
      <c r="H356" s="182"/>
      <c r="I356" s="13"/>
      <c r="J356" s="13"/>
      <c r="L356" s="140"/>
      <c r="M356" s="140"/>
    </row>
    <row r="357">
      <c r="D357" s="13"/>
      <c r="E357" s="182"/>
      <c r="G357" s="122"/>
      <c r="H357" s="182"/>
      <c r="I357" s="13"/>
      <c r="J357" s="13"/>
      <c r="L357" s="140"/>
      <c r="M357" s="140"/>
    </row>
    <row r="358">
      <c r="D358" s="13"/>
      <c r="E358" s="182"/>
      <c r="G358" s="122"/>
      <c r="H358" s="182"/>
      <c r="I358" s="13"/>
      <c r="J358" s="13"/>
      <c r="L358" s="140"/>
      <c r="M358" s="140"/>
    </row>
    <row r="359">
      <c r="D359" s="13"/>
      <c r="E359" s="182"/>
      <c r="G359" s="122"/>
      <c r="H359" s="182"/>
      <c r="I359" s="13"/>
      <c r="J359" s="13"/>
      <c r="L359" s="140"/>
      <c r="M359" s="140"/>
    </row>
    <row r="360">
      <c r="D360" s="13"/>
      <c r="E360" s="182"/>
      <c r="G360" s="122"/>
      <c r="H360" s="182"/>
      <c r="I360" s="13"/>
      <c r="J360" s="13"/>
      <c r="L360" s="140"/>
      <c r="M360" s="140"/>
    </row>
    <row r="361">
      <c r="D361" s="13"/>
      <c r="E361" s="182"/>
      <c r="G361" s="122"/>
      <c r="H361" s="182"/>
      <c r="I361" s="13"/>
      <c r="J361" s="13"/>
      <c r="L361" s="140"/>
      <c r="M361" s="140"/>
    </row>
    <row r="362">
      <c r="D362" s="13"/>
      <c r="E362" s="182"/>
      <c r="G362" s="122"/>
      <c r="H362" s="182"/>
      <c r="I362" s="13"/>
      <c r="J362" s="13"/>
      <c r="L362" s="140"/>
      <c r="M362" s="140"/>
    </row>
    <row r="363">
      <c r="D363" s="13"/>
      <c r="E363" s="182"/>
      <c r="G363" s="122"/>
      <c r="H363" s="182"/>
      <c r="I363" s="13"/>
      <c r="J363" s="13"/>
      <c r="L363" s="140"/>
      <c r="M363" s="140"/>
    </row>
    <row r="364">
      <c r="D364" s="13"/>
      <c r="E364" s="182"/>
      <c r="G364" s="122"/>
      <c r="H364" s="182"/>
      <c r="I364" s="13"/>
      <c r="J364" s="13"/>
      <c r="L364" s="140"/>
      <c r="M364" s="140"/>
    </row>
    <row r="365">
      <c r="D365" s="13"/>
      <c r="E365" s="182"/>
      <c r="G365" s="122"/>
      <c r="H365" s="182"/>
      <c r="I365" s="13"/>
      <c r="J365" s="13"/>
      <c r="L365" s="140"/>
      <c r="M365" s="140"/>
    </row>
    <row r="366">
      <c r="D366" s="13"/>
      <c r="E366" s="182"/>
      <c r="G366" s="122"/>
      <c r="H366" s="182"/>
      <c r="I366" s="13"/>
      <c r="J366" s="13"/>
      <c r="L366" s="140"/>
      <c r="M366" s="140"/>
    </row>
    <row r="367">
      <c r="D367" s="13"/>
      <c r="E367" s="182"/>
      <c r="G367" s="122"/>
      <c r="H367" s="182"/>
      <c r="I367" s="13"/>
      <c r="J367" s="13"/>
      <c r="L367" s="140"/>
      <c r="M367" s="140"/>
    </row>
    <row r="368">
      <c r="D368" s="13"/>
      <c r="E368" s="182"/>
      <c r="G368" s="122"/>
      <c r="H368" s="182"/>
      <c r="I368" s="13"/>
      <c r="J368" s="13"/>
      <c r="L368" s="140"/>
      <c r="M368" s="140"/>
    </row>
    <row r="369">
      <c r="D369" s="13"/>
      <c r="E369" s="182"/>
      <c r="G369" s="122"/>
      <c r="H369" s="182"/>
      <c r="I369" s="13"/>
      <c r="J369" s="13"/>
      <c r="L369" s="140"/>
      <c r="M369" s="140"/>
    </row>
    <row r="370">
      <c r="D370" s="13"/>
      <c r="E370" s="182"/>
      <c r="G370" s="122"/>
      <c r="H370" s="182"/>
      <c r="I370" s="13"/>
      <c r="J370" s="13"/>
      <c r="L370" s="140"/>
      <c r="M370" s="140"/>
    </row>
    <row r="371">
      <c r="D371" s="13"/>
      <c r="E371" s="182"/>
      <c r="G371" s="122"/>
      <c r="H371" s="182"/>
      <c r="I371" s="13"/>
      <c r="J371" s="13"/>
      <c r="L371" s="140"/>
      <c r="M371" s="140"/>
    </row>
    <row r="372">
      <c r="D372" s="13"/>
      <c r="E372" s="182"/>
      <c r="G372" s="122"/>
      <c r="H372" s="182"/>
      <c r="I372" s="13"/>
      <c r="J372" s="13"/>
      <c r="L372" s="140"/>
      <c r="M372" s="140"/>
    </row>
    <row r="373">
      <c r="D373" s="13"/>
      <c r="E373" s="182"/>
      <c r="G373" s="122"/>
      <c r="H373" s="182"/>
      <c r="I373" s="13"/>
      <c r="J373" s="13"/>
      <c r="L373" s="140"/>
      <c r="M373" s="140"/>
    </row>
    <row r="374">
      <c r="D374" s="13"/>
      <c r="E374" s="182"/>
      <c r="G374" s="122"/>
      <c r="H374" s="182"/>
      <c r="I374" s="13"/>
      <c r="J374" s="13"/>
      <c r="L374" s="140"/>
      <c r="M374" s="140"/>
    </row>
    <row r="375">
      <c r="D375" s="13"/>
      <c r="E375" s="182"/>
      <c r="G375" s="122"/>
      <c r="H375" s="182"/>
      <c r="I375" s="13"/>
      <c r="J375" s="13"/>
      <c r="L375" s="140"/>
      <c r="M375" s="140"/>
    </row>
    <row r="376">
      <c r="D376" s="13"/>
      <c r="E376" s="182"/>
      <c r="G376" s="122"/>
      <c r="H376" s="182"/>
      <c r="I376" s="13"/>
      <c r="J376" s="13"/>
      <c r="L376" s="140"/>
      <c r="M376" s="140"/>
    </row>
    <row r="377">
      <c r="D377" s="13"/>
      <c r="E377" s="182"/>
      <c r="G377" s="122"/>
      <c r="H377" s="182"/>
      <c r="I377" s="13"/>
      <c r="J377" s="13"/>
      <c r="L377" s="140"/>
      <c r="M377" s="140"/>
    </row>
    <row r="378">
      <c r="D378" s="13"/>
      <c r="E378" s="182"/>
      <c r="G378" s="122"/>
      <c r="H378" s="182"/>
      <c r="I378" s="13"/>
      <c r="J378" s="13"/>
      <c r="L378" s="140"/>
      <c r="M378" s="140"/>
    </row>
    <row r="379">
      <c r="D379" s="13"/>
      <c r="E379" s="182"/>
      <c r="G379" s="122"/>
      <c r="H379" s="182"/>
      <c r="I379" s="13"/>
      <c r="J379" s="13"/>
      <c r="L379" s="140"/>
      <c r="M379" s="140"/>
    </row>
    <row r="380">
      <c r="D380" s="13"/>
      <c r="E380" s="182"/>
      <c r="G380" s="122"/>
      <c r="H380" s="182"/>
      <c r="I380" s="13"/>
      <c r="J380" s="13"/>
      <c r="L380" s="140"/>
      <c r="M380" s="140"/>
    </row>
    <row r="381">
      <c r="D381" s="13"/>
      <c r="E381" s="182"/>
      <c r="G381" s="122"/>
      <c r="H381" s="182"/>
      <c r="I381" s="13"/>
      <c r="J381" s="13"/>
      <c r="L381" s="140"/>
      <c r="M381" s="140"/>
    </row>
    <row r="382">
      <c r="D382" s="13"/>
      <c r="E382" s="182"/>
      <c r="G382" s="122"/>
      <c r="H382" s="182"/>
      <c r="I382" s="13"/>
      <c r="J382" s="13"/>
      <c r="L382" s="140"/>
      <c r="M382" s="140"/>
    </row>
    <row r="383">
      <c r="D383" s="13"/>
      <c r="E383" s="182"/>
      <c r="G383" s="122"/>
      <c r="H383" s="182"/>
      <c r="I383" s="13"/>
      <c r="J383" s="13"/>
      <c r="L383" s="140"/>
      <c r="M383" s="140"/>
    </row>
    <row r="384">
      <c r="D384" s="13"/>
      <c r="E384" s="182"/>
      <c r="G384" s="122"/>
      <c r="H384" s="182"/>
      <c r="I384" s="13"/>
      <c r="J384" s="13"/>
      <c r="L384" s="140"/>
      <c r="M384" s="140"/>
    </row>
    <row r="385">
      <c r="D385" s="13"/>
      <c r="E385" s="182"/>
      <c r="G385" s="122"/>
      <c r="H385" s="182"/>
      <c r="I385" s="13"/>
      <c r="J385" s="13"/>
      <c r="L385" s="140"/>
      <c r="M385" s="140"/>
    </row>
    <row r="386">
      <c r="D386" s="13"/>
      <c r="E386" s="182"/>
      <c r="G386" s="122"/>
      <c r="H386" s="182"/>
      <c r="I386" s="13"/>
      <c r="J386" s="13"/>
      <c r="L386" s="140"/>
      <c r="M386" s="140"/>
    </row>
    <row r="387">
      <c r="D387" s="13"/>
      <c r="E387" s="182"/>
      <c r="G387" s="122"/>
      <c r="H387" s="182"/>
      <c r="I387" s="13"/>
      <c r="J387" s="13"/>
      <c r="L387" s="140"/>
      <c r="M387" s="140"/>
    </row>
    <row r="388">
      <c r="D388" s="13"/>
      <c r="E388" s="182"/>
      <c r="G388" s="122"/>
      <c r="H388" s="182"/>
      <c r="I388" s="13"/>
      <c r="J388" s="13"/>
      <c r="L388" s="140"/>
      <c r="M388" s="140"/>
    </row>
    <row r="389">
      <c r="D389" s="13"/>
      <c r="E389" s="182"/>
      <c r="G389" s="122"/>
      <c r="H389" s="182"/>
      <c r="I389" s="13"/>
      <c r="J389" s="13"/>
      <c r="L389" s="140"/>
      <c r="M389" s="140"/>
    </row>
    <row r="390">
      <c r="D390" s="13"/>
      <c r="E390" s="182"/>
      <c r="G390" s="122"/>
      <c r="H390" s="182"/>
      <c r="I390" s="13"/>
      <c r="J390" s="13"/>
      <c r="L390" s="140"/>
      <c r="M390" s="140"/>
    </row>
    <row r="391">
      <c r="D391" s="13"/>
      <c r="E391" s="182"/>
      <c r="G391" s="122"/>
      <c r="H391" s="182"/>
      <c r="I391" s="13"/>
      <c r="J391" s="13"/>
      <c r="L391" s="140"/>
      <c r="M391" s="140"/>
    </row>
    <row r="392">
      <c r="D392" s="13"/>
      <c r="E392" s="182"/>
      <c r="G392" s="122"/>
      <c r="H392" s="182"/>
      <c r="I392" s="13"/>
      <c r="J392" s="13"/>
      <c r="L392" s="140"/>
      <c r="M392" s="140"/>
    </row>
    <row r="393">
      <c r="D393" s="13"/>
      <c r="E393" s="182"/>
      <c r="G393" s="122"/>
      <c r="H393" s="182"/>
      <c r="I393" s="13"/>
      <c r="J393" s="13"/>
      <c r="L393" s="140"/>
      <c r="M393" s="140"/>
    </row>
    <row r="394">
      <c r="D394" s="13"/>
      <c r="E394" s="182"/>
      <c r="G394" s="122"/>
      <c r="H394" s="182"/>
      <c r="I394" s="13"/>
      <c r="J394" s="13"/>
      <c r="L394" s="140"/>
      <c r="M394" s="140"/>
    </row>
    <row r="395">
      <c r="D395" s="13"/>
      <c r="E395" s="182"/>
      <c r="G395" s="122"/>
      <c r="H395" s="182"/>
      <c r="I395" s="13"/>
      <c r="J395" s="13"/>
      <c r="L395" s="140"/>
      <c r="M395" s="140"/>
    </row>
    <row r="396">
      <c r="D396" s="13"/>
      <c r="E396" s="182"/>
      <c r="G396" s="122"/>
      <c r="H396" s="182"/>
      <c r="I396" s="13"/>
      <c r="J396" s="13"/>
      <c r="L396" s="140"/>
      <c r="M396" s="140"/>
    </row>
    <row r="397">
      <c r="D397" s="13"/>
      <c r="E397" s="182"/>
      <c r="G397" s="122"/>
      <c r="H397" s="182"/>
      <c r="I397" s="13"/>
      <c r="J397" s="13"/>
      <c r="L397" s="140"/>
      <c r="M397" s="140"/>
    </row>
    <row r="398">
      <c r="D398" s="13"/>
      <c r="E398" s="182"/>
      <c r="G398" s="122"/>
      <c r="H398" s="182"/>
      <c r="I398" s="13"/>
      <c r="J398" s="13"/>
      <c r="L398" s="140"/>
      <c r="M398" s="140"/>
    </row>
    <row r="399">
      <c r="D399" s="13"/>
      <c r="E399" s="182"/>
      <c r="G399" s="122"/>
      <c r="H399" s="182"/>
      <c r="I399" s="13"/>
      <c r="J399" s="13"/>
      <c r="L399" s="140"/>
      <c r="M399" s="140"/>
    </row>
    <row r="400">
      <c r="D400" s="13"/>
      <c r="E400" s="182"/>
      <c r="G400" s="122"/>
      <c r="H400" s="182"/>
      <c r="I400" s="13"/>
      <c r="J400" s="13"/>
      <c r="L400" s="140"/>
      <c r="M400" s="140"/>
    </row>
    <row r="401">
      <c r="D401" s="13"/>
      <c r="E401" s="182"/>
      <c r="G401" s="122"/>
      <c r="H401" s="182"/>
      <c r="I401" s="13"/>
      <c r="J401" s="13"/>
      <c r="L401" s="140"/>
      <c r="M401" s="140"/>
    </row>
    <row r="402">
      <c r="D402" s="13"/>
      <c r="E402" s="182"/>
      <c r="G402" s="122"/>
      <c r="H402" s="182"/>
      <c r="I402" s="13"/>
      <c r="J402" s="13"/>
      <c r="L402" s="140"/>
      <c r="M402" s="140"/>
    </row>
    <row r="403">
      <c r="D403" s="13"/>
      <c r="E403" s="182"/>
      <c r="G403" s="122"/>
      <c r="H403" s="182"/>
      <c r="I403" s="13"/>
      <c r="J403" s="13"/>
      <c r="L403" s="140"/>
      <c r="M403" s="140"/>
    </row>
    <row r="404">
      <c r="D404" s="13"/>
      <c r="E404" s="182"/>
      <c r="G404" s="122"/>
      <c r="H404" s="182"/>
      <c r="I404" s="13"/>
      <c r="J404" s="13"/>
      <c r="L404" s="140"/>
      <c r="M404" s="140"/>
    </row>
    <row r="405">
      <c r="D405" s="13"/>
      <c r="E405" s="182"/>
      <c r="G405" s="122"/>
      <c r="H405" s="182"/>
      <c r="I405" s="13"/>
      <c r="J405" s="13"/>
      <c r="L405" s="140"/>
      <c r="M405" s="140"/>
    </row>
    <row r="406">
      <c r="D406" s="13"/>
      <c r="E406" s="182"/>
      <c r="G406" s="122"/>
      <c r="H406" s="182"/>
      <c r="I406" s="13"/>
      <c r="J406" s="13"/>
      <c r="L406" s="140"/>
      <c r="M406" s="140"/>
    </row>
    <row r="407">
      <c r="D407" s="13"/>
      <c r="E407" s="182"/>
      <c r="G407" s="122"/>
      <c r="H407" s="182"/>
      <c r="I407" s="13"/>
      <c r="J407" s="13"/>
      <c r="L407" s="140"/>
      <c r="M407" s="140"/>
    </row>
    <row r="408">
      <c r="D408" s="13"/>
      <c r="E408" s="182"/>
      <c r="G408" s="122"/>
      <c r="H408" s="182"/>
      <c r="I408" s="13"/>
      <c r="J408" s="13"/>
      <c r="L408" s="140"/>
      <c r="M408" s="140"/>
    </row>
    <row r="409">
      <c r="D409" s="13"/>
      <c r="E409" s="182"/>
      <c r="G409" s="122"/>
      <c r="H409" s="182"/>
      <c r="I409" s="13"/>
      <c r="J409" s="13"/>
      <c r="L409" s="140"/>
      <c r="M409" s="140"/>
    </row>
    <row r="410">
      <c r="D410" s="13"/>
      <c r="E410" s="182"/>
      <c r="G410" s="122"/>
      <c r="H410" s="182"/>
      <c r="I410" s="13"/>
      <c r="J410" s="13"/>
      <c r="L410" s="140"/>
      <c r="M410" s="140"/>
    </row>
    <row r="411">
      <c r="D411" s="13"/>
      <c r="E411" s="182"/>
      <c r="G411" s="122"/>
      <c r="H411" s="182"/>
      <c r="I411" s="13"/>
      <c r="J411" s="13"/>
      <c r="L411" s="140"/>
      <c r="M411" s="140"/>
    </row>
    <row r="412">
      <c r="D412" s="13"/>
      <c r="E412" s="182"/>
      <c r="G412" s="122"/>
      <c r="H412" s="182"/>
      <c r="I412" s="13"/>
      <c r="J412" s="13"/>
      <c r="L412" s="140"/>
      <c r="M412" s="140"/>
    </row>
    <row r="413">
      <c r="D413" s="13"/>
      <c r="E413" s="182"/>
      <c r="G413" s="122"/>
      <c r="H413" s="182"/>
      <c r="I413" s="13"/>
      <c r="J413" s="13"/>
      <c r="L413" s="140"/>
      <c r="M413" s="140"/>
    </row>
    <row r="414">
      <c r="D414" s="13"/>
      <c r="E414" s="182"/>
      <c r="G414" s="122"/>
      <c r="H414" s="182"/>
      <c r="I414" s="13"/>
      <c r="J414" s="13"/>
      <c r="L414" s="140"/>
      <c r="M414" s="140"/>
    </row>
    <row r="415">
      <c r="D415" s="13"/>
      <c r="E415" s="182"/>
      <c r="G415" s="122"/>
      <c r="H415" s="182"/>
      <c r="I415" s="13"/>
      <c r="J415" s="13"/>
      <c r="L415" s="140"/>
      <c r="M415" s="140"/>
    </row>
    <row r="416">
      <c r="D416" s="13"/>
      <c r="E416" s="182"/>
      <c r="G416" s="122"/>
      <c r="H416" s="182"/>
      <c r="I416" s="13"/>
      <c r="J416" s="13"/>
      <c r="L416" s="140"/>
      <c r="M416" s="140"/>
    </row>
    <row r="417">
      <c r="D417" s="13"/>
      <c r="E417" s="182"/>
      <c r="G417" s="122"/>
      <c r="H417" s="182"/>
      <c r="I417" s="13"/>
      <c r="J417" s="13"/>
      <c r="L417" s="140"/>
      <c r="M417" s="140"/>
    </row>
    <row r="418">
      <c r="D418" s="13"/>
      <c r="E418" s="182"/>
      <c r="G418" s="122"/>
      <c r="H418" s="182"/>
      <c r="I418" s="13"/>
      <c r="J418" s="13"/>
      <c r="L418" s="140"/>
      <c r="M418" s="140"/>
    </row>
    <row r="419">
      <c r="D419" s="13"/>
      <c r="E419" s="182"/>
      <c r="G419" s="122"/>
      <c r="H419" s="182"/>
      <c r="I419" s="13"/>
      <c r="J419" s="13"/>
      <c r="L419" s="140"/>
      <c r="M419" s="140"/>
    </row>
    <row r="420">
      <c r="D420" s="13"/>
      <c r="E420" s="182"/>
      <c r="G420" s="122"/>
      <c r="H420" s="182"/>
      <c r="I420" s="13"/>
      <c r="J420" s="13"/>
      <c r="L420" s="140"/>
      <c r="M420" s="140"/>
    </row>
    <row r="421">
      <c r="D421" s="13"/>
      <c r="E421" s="182"/>
      <c r="G421" s="122"/>
      <c r="H421" s="182"/>
      <c r="I421" s="13"/>
      <c r="J421" s="13"/>
      <c r="L421" s="140"/>
      <c r="M421" s="140"/>
    </row>
    <row r="422">
      <c r="D422" s="13"/>
      <c r="E422" s="182"/>
      <c r="G422" s="122"/>
      <c r="H422" s="182"/>
      <c r="I422" s="13"/>
      <c r="J422" s="13"/>
      <c r="L422" s="140"/>
      <c r="M422" s="140"/>
    </row>
    <row r="423">
      <c r="D423" s="13"/>
      <c r="E423" s="182"/>
      <c r="G423" s="122"/>
      <c r="H423" s="182"/>
      <c r="I423" s="13"/>
      <c r="J423" s="13"/>
      <c r="L423" s="140"/>
      <c r="M423" s="140"/>
    </row>
    <row r="424">
      <c r="D424" s="13"/>
      <c r="E424" s="182"/>
      <c r="G424" s="122"/>
      <c r="H424" s="182"/>
      <c r="I424" s="13"/>
      <c r="J424" s="13"/>
      <c r="L424" s="140"/>
      <c r="M424" s="140"/>
    </row>
    <row r="425">
      <c r="D425" s="13"/>
      <c r="E425" s="182"/>
      <c r="G425" s="122"/>
      <c r="H425" s="182"/>
      <c r="I425" s="13"/>
      <c r="J425" s="13"/>
      <c r="L425" s="140"/>
      <c r="M425" s="140"/>
    </row>
    <row r="426">
      <c r="D426" s="13"/>
      <c r="E426" s="182"/>
      <c r="G426" s="122"/>
      <c r="H426" s="182"/>
      <c r="I426" s="13"/>
      <c r="J426" s="13"/>
      <c r="L426" s="140"/>
      <c r="M426" s="140"/>
    </row>
    <row r="427">
      <c r="D427" s="13"/>
      <c r="E427" s="182"/>
      <c r="G427" s="122"/>
      <c r="H427" s="182"/>
      <c r="I427" s="13"/>
      <c r="J427" s="13"/>
      <c r="L427" s="140"/>
      <c r="M427" s="140"/>
    </row>
    <row r="428">
      <c r="D428" s="13"/>
      <c r="E428" s="182"/>
      <c r="G428" s="122"/>
      <c r="H428" s="182"/>
      <c r="I428" s="13"/>
      <c r="J428" s="13"/>
      <c r="L428" s="140"/>
      <c r="M428" s="140"/>
    </row>
    <row r="429">
      <c r="D429" s="13"/>
      <c r="E429" s="182"/>
      <c r="G429" s="122"/>
      <c r="H429" s="182"/>
      <c r="I429" s="13"/>
      <c r="J429" s="13"/>
      <c r="L429" s="140"/>
      <c r="M429" s="140"/>
    </row>
    <row r="430">
      <c r="D430" s="13"/>
      <c r="E430" s="182"/>
      <c r="G430" s="122"/>
      <c r="H430" s="182"/>
      <c r="I430" s="13"/>
      <c r="J430" s="13"/>
      <c r="L430" s="140"/>
      <c r="M430" s="140"/>
    </row>
    <row r="431">
      <c r="D431" s="13"/>
      <c r="E431" s="182"/>
      <c r="G431" s="122"/>
      <c r="H431" s="182"/>
      <c r="I431" s="13"/>
      <c r="J431" s="13"/>
      <c r="L431" s="140"/>
      <c r="M431" s="140"/>
    </row>
    <row r="432">
      <c r="D432" s="13"/>
      <c r="E432" s="182"/>
      <c r="G432" s="122"/>
      <c r="H432" s="182"/>
      <c r="I432" s="13"/>
      <c r="J432" s="13"/>
      <c r="L432" s="140"/>
      <c r="M432" s="140"/>
    </row>
    <row r="433">
      <c r="D433" s="13"/>
      <c r="E433" s="182"/>
      <c r="G433" s="122"/>
      <c r="H433" s="182"/>
      <c r="I433" s="13"/>
      <c r="J433" s="13"/>
      <c r="L433" s="140"/>
      <c r="M433" s="140"/>
    </row>
    <row r="434">
      <c r="D434" s="13"/>
      <c r="E434" s="182"/>
      <c r="G434" s="122"/>
      <c r="H434" s="182"/>
      <c r="I434" s="13"/>
      <c r="J434" s="13"/>
      <c r="L434" s="140"/>
      <c r="M434" s="140"/>
    </row>
    <row r="435">
      <c r="D435" s="13"/>
      <c r="E435" s="182"/>
      <c r="G435" s="122"/>
      <c r="H435" s="182"/>
      <c r="I435" s="13"/>
      <c r="J435" s="13"/>
      <c r="L435" s="140"/>
      <c r="M435" s="140"/>
    </row>
    <row r="436">
      <c r="D436" s="13"/>
      <c r="E436" s="182"/>
      <c r="G436" s="122"/>
      <c r="H436" s="182"/>
      <c r="I436" s="13"/>
      <c r="J436" s="13"/>
      <c r="L436" s="140"/>
      <c r="M436" s="140"/>
    </row>
    <row r="437">
      <c r="D437" s="13"/>
      <c r="E437" s="182"/>
      <c r="G437" s="122"/>
      <c r="H437" s="182"/>
      <c r="I437" s="13"/>
      <c r="J437" s="13"/>
      <c r="L437" s="140"/>
      <c r="M437" s="140"/>
    </row>
    <row r="438">
      <c r="D438" s="13"/>
      <c r="E438" s="182"/>
      <c r="G438" s="122"/>
      <c r="H438" s="182"/>
      <c r="I438" s="13"/>
      <c r="J438" s="13"/>
      <c r="L438" s="140"/>
      <c r="M438" s="140"/>
    </row>
    <row r="439">
      <c r="D439" s="13"/>
      <c r="E439" s="182"/>
      <c r="G439" s="122"/>
      <c r="H439" s="182"/>
      <c r="I439" s="13"/>
      <c r="J439" s="13"/>
      <c r="L439" s="140"/>
      <c r="M439" s="140"/>
    </row>
    <row r="440">
      <c r="D440" s="13"/>
      <c r="E440" s="182"/>
      <c r="G440" s="122"/>
      <c r="H440" s="182"/>
      <c r="I440" s="13"/>
      <c r="J440" s="13"/>
      <c r="L440" s="140"/>
      <c r="M440" s="140"/>
    </row>
    <row r="441">
      <c r="D441" s="13"/>
      <c r="E441" s="182"/>
      <c r="G441" s="122"/>
      <c r="H441" s="182"/>
      <c r="I441" s="13"/>
      <c r="J441" s="13"/>
      <c r="L441" s="140"/>
      <c r="M441" s="140"/>
    </row>
    <row r="442">
      <c r="D442" s="13"/>
      <c r="E442" s="182"/>
      <c r="G442" s="122"/>
      <c r="H442" s="182"/>
      <c r="I442" s="13"/>
      <c r="J442" s="13"/>
      <c r="L442" s="140"/>
      <c r="M442" s="140"/>
    </row>
    <row r="443">
      <c r="D443" s="13"/>
      <c r="E443" s="182"/>
      <c r="G443" s="122"/>
      <c r="H443" s="182"/>
      <c r="I443" s="13"/>
      <c r="J443" s="13"/>
      <c r="L443" s="140"/>
      <c r="M443" s="140"/>
    </row>
    <row r="444">
      <c r="D444" s="13"/>
      <c r="E444" s="182"/>
      <c r="G444" s="122"/>
      <c r="H444" s="182"/>
      <c r="I444" s="13"/>
      <c r="J444" s="13"/>
      <c r="L444" s="140"/>
      <c r="M444" s="140"/>
    </row>
    <row r="445">
      <c r="D445" s="13"/>
      <c r="E445" s="182"/>
      <c r="G445" s="122"/>
      <c r="H445" s="182"/>
      <c r="I445" s="13"/>
      <c r="J445" s="13"/>
      <c r="L445" s="140"/>
      <c r="M445" s="140"/>
    </row>
    <row r="446">
      <c r="D446" s="13"/>
      <c r="E446" s="182"/>
      <c r="G446" s="122"/>
      <c r="H446" s="182"/>
      <c r="I446" s="13"/>
      <c r="J446" s="13"/>
      <c r="L446" s="140"/>
      <c r="M446" s="140"/>
    </row>
    <row r="447">
      <c r="D447" s="13"/>
      <c r="E447" s="182"/>
      <c r="G447" s="122"/>
      <c r="H447" s="182"/>
      <c r="I447" s="13"/>
      <c r="J447" s="13"/>
      <c r="L447" s="140"/>
      <c r="M447" s="140"/>
    </row>
    <row r="448">
      <c r="D448" s="13"/>
      <c r="E448" s="182"/>
      <c r="G448" s="122"/>
      <c r="H448" s="182"/>
      <c r="I448" s="13"/>
      <c r="J448" s="13"/>
      <c r="L448" s="140"/>
      <c r="M448" s="140"/>
    </row>
    <row r="449">
      <c r="D449" s="13"/>
      <c r="E449" s="182"/>
      <c r="G449" s="122"/>
      <c r="H449" s="182"/>
      <c r="I449" s="13"/>
      <c r="J449" s="13"/>
      <c r="L449" s="140"/>
      <c r="M449" s="140"/>
    </row>
    <row r="450">
      <c r="D450" s="13"/>
      <c r="E450" s="182"/>
      <c r="G450" s="122"/>
      <c r="H450" s="182"/>
      <c r="I450" s="13"/>
      <c r="J450" s="13"/>
      <c r="L450" s="140"/>
      <c r="M450" s="140"/>
    </row>
    <row r="451">
      <c r="D451" s="13"/>
      <c r="E451" s="182"/>
      <c r="G451" s="122"/>
      <c r="H451" s="182"/>
      <c r="I451" s="13"/>
      <c r="J451" s="13"/>
      <c r="L451" s="140"/>
      <c r="M451" s="140"/>
    </row>
    <row r="452">
      <c r="D452" s="13"/>
      <c r="E452" s="182"/>
      <c r="G452" s="122"/>
      <c r="H452" s="182"/>
      <c r="I452" s="13"/>
      <c r="J452" s="13"/>
      <c r="L452" s="140"/>
      <c r="M452" s="140"/>
    </row>
    <row r="453">
      <c r="D453" s="13"/>
      <c r="E453" s="182"/>
      <c r="G453" s="122"/>
      <c r="H453" s="182"/>
      <c r="I453" s="13"/>
      <c r="J453" s="13"/>
      <c r="L453" s="140"/>
      <c r="M453" s="140"/>
    </row>
    <row r="454">
      <c r="D454" s="13"/>
      <c r="E454" s="182"/>
      <c r="G454" s="122"/>
      <c r="H454" s="182"/>
      <c r="I454" s="13"/>
      <c r="J454" s="13"/>
      <c r="L454" s="140"/>
      <c r="M454" s="140"/>
    </row>
    <row r="455">
      <c r="D455" s="13"/>
      <c r="E455" s="182"/>
      <c r="G455" s="122"/>
      <c r="H455" s="182"/>
      <c r="I455" s="13"/>
      <c r="J455" s="13"/>
      <c r="L455" s="140"/>
      <c r="M455" s="140"/>
    </row>
    <row r="456">
      <c r="D456" s="13"/>
      <c r="E456" s="182"/>
      <c r="G456" s="122"/>
      <c r="H456" s="182"/>
      <c r="I456" s="13"/>
      <c r="J456" s="13"/>
      <c r="L456" s="140"/>
      <c r="M456" s="140"/>
    </row>
    <row r="457">
      <c r="D457" s="13"/>
      <c r="E457" s="182"/>
      <c r="G457" s="122"/>
      <c r="H457" s="182"/>
      <c r="I457" s="13"/>
      <c r="J457" s="13"/>
      <c r="L457" s="140"/>
      <c r="M457" s="140"/>
    </row>
    <row r="458">
      <c r="D458" s="13"/>
      <c r="E458" s="182"/>
      <c r="G458" s="122"/>
      <c r="H458" s="182"/>
      <c r="I458" s="13"/>
      <c r="J458" s="13"/>
      <c r="L458" s="140"/>
      <c r="M458" s="140"/>
    </row>
    <row r="459">
      <c r="D459" s="13"/>
      <c r="E459" s="182"/>
      <c r="G459" s="122"/>
      <c r="H459" s="182"/>
      <c r="I459" s="13"/>
      <c r="J459" s="13"/>
      <c r="L459" s="140"/>
      <c r="M459" s="140"/>
    </row>
    <row r="460">
      <c r="D460" s="13"/>
      <c r="E460" s="182"/>
      <c r="G460" s="122"/>
      <c r="H460" s="182"/>
      <c r="I460" s="13"/>
      <c r="J460" s="13"/>
      <c r="L460" s="140"/>
      <c r="M460" s="140"/>
    </row>
    <row r="461">
      <c r="D461" s="13"/>
      <c r="E461" s="182"/>
      <c r="G461" s="122"/>
      <c r="H461" s="182"/>
      <c r="I461" s="13"/>
      <c r="J461" s="13"/>
      <c r="L461" s="140"/>
      <c r="M461" s="140"/>
    </row>
    <row r="462">
      <c r="D462" s="13"/>
      <c r="E462" s="182"/>
      <c r="G462" s="122"/>
      <c r="H462" s="182"/>
      <c r="I462" s="13"/>
      <c r="J462" s="13"/>
      <c r="L462" s="140"/>
      <c r="M462" s="140"/>
    </row>
    <row r="463">
      <c r="D463" s="13"/>
      <c r="E463" s="182"/>
      <c r="G463" s="122"/>
      <c r="H463" s="182"/>
      <c r="I463" s="13"/>
      <c r="J463" s="13"/>
      <c r="L463" s="140"/>
      <c r="M463" s="140"/>
    </row>
    <row r="464">
      <c r="D464" s="13"/>
      <c r="E464" s="182"/>
      <c r="G464" s="122"/>
      <c r="H464" s="182"/>
      <c r="I464" s="13"/>
      <c r="J464" s="13"/>
      <c r="L464" s="140"/>
      <c r="M464" s="140"/>
    </row>
    <row r="465">
      <c r="D465" s="13"/>
      <c r="E465" s="182"/>
      <c r="G465" s="122"/>
      <c r="H465" s="182"/>
      <c r="I465" s="13"/>
      <c r="J465" s="13"/>
      <c r="L465" s="140"/>
      <c r="M465" s="140"/>
    </row>
    <row r="466">
      <c r="D466" s="13"/>
      <c r="E466" s="182"/>
      <c r="G466" s="122"/>
      <c r="H466" s="182"/>
      <c r="I466" s="13"/>
      <c r="J466" s="13"/>
      <c r="L466" s="140"/>
      <c r="M466" s="140"/>
    </row>
    <row r="467">
      <c r="D467" s="13"/>
      <c r="E467" s="182"/>
      <c r="G467" s="122"/>
      <c r="H467" s="182"/>
      <c r="I467" s="13"/>
      <c r="J467" s="13"/>
      <c r="L467" s="140"/>
      <c r="M467" s="140"/>
    </row>
    <row r="468">
      <c r="D468" s="13"/>
      <c r="E468" s="182"/>
      <c r="G468" s="122"/>
      <c r="H468" s="182"/>
      <c r="I468" s="13"/>
      <c r="J468" s="13"/>
      <c r="L468" s="140"/>
      <c r="M468" s="140"/>
    </row>
    <row r="469">
      <c r="D469" s="13"/>
      <c r="E469" s="182"/>
      <c r="G469" s="122"/>
      <c r="H469" s="182"/>
      <c r="I469" s="13"/>
      <c r="J469" s="13"/>
      <c r="L469" s="140"/>
      <c r="M469" s="140"/>
    </row>
    <row r="470">
      <c r="D470" s="13"/>
      <c r="E470" s="182"/>
      <c r="G470" s="122"/>
      <c r="H470" s="182"/>
      <c r="I470" s="13"/>
      <c r="J470" s="13"/>
      <c r="L470" s="140"/>
      <c r="M470" s="140"/>
    </row>
    <row r="471">
      <c r="D471" s="13"/>
      <c r="E471" s="182"/>
      <c r="G471" s="122"/>
      <c r="H471" s="182"/>
      <c r="I471" s="13"/>
      <c r="J471" s="13"/>
      <c r="L471" s="140"/>
      <c r="M471" s="140"/>
    </row>
    <row r="472">
      <c r="D472" s="13"/>
      <c r="E472" s="182"/>
      <c r="G472" s="122"/>
      <c r="H472" s="182"/>
      <c r="I472" s="13"/>
      <c r="J472" s="13"/>
      <c r="L472" s="140"/>
      <c r="M472" s="140"/>
    </row>
    <row r="473">
      <c r="D473" s="13"/>
      <c r="E473" s="182"/>
      <c r="G473" s="122"/>
      <c r="H473" s="182"/>
      <c r="I473" s="13"/>
      <c r="J473" s="13"/>
      <c r="L473" s="140"/>
      <c r="M473" s="140"/>
    </row>
    <row r="474">
      <c r="D474" s="13"/>
      <c r="E474" s="182"/>
      <c r="G474" s="122"/>
      <c r="H474" s="182"/>
      <c r="I474" s="13"/>
      <c r="J474" s="13"/>
      <c r="L474" s="140"/>
      <c r="M474" s="140"/>
    </row>
    <row r="475">
      <c r="D475" s="13"/>
      <c r="E475" s="182"/>
      <c r="G475" s="122"/>
      <c r="H475" s="182"/>
      <c r="I475" s="13"/>
      <c r="J475" s="13"/>
      <c r="L475" s="140"/>
      <c r="M475" s="140"/>
    </row>
    <row r="476">
      <c r="D476" s="13"/>
      <c r="E476" s="182"/>
      <c r="G476" s="122"/>
      <c r="H476" s="182"/>
      <c r="I476" s="13"/>
      <c r="J476" s="13"/>
      <c r="L476" s="140"/>
      <c r="M476" s="140"/>
    </row>
    <row r="477">
      <c r="D477" s="13"/>
      <c r="E477" s="182"/>
      <c r="G477" s="122"/>
      <c r="H477" s="182"/>
      <c r="I477" s="13"/>
      <c r="J477" s="13"/>
      <c r="L477" s="140"/>
      <c r="M477" s="140"/>
    </row>
    <row r="478">
      <c r="D478" s="13"/>
      <c r="E478" s="182"/>
      <c r="G478" s="122"/>
      <c r="H478" s="182"/>
      <c r="I478" s="13"/>
      <c r="J478" s="13"/>
      <c r="L478" s="140"/>
      <c r="M478" s="140"/>
    </row>
    <row r="479">
      <c r="D479" s="13"/>
      <c r="E479" s="182"/>
      <c r="G479" s="122"/>
      <c r="H479" s="182"/>
      <c r="I479" s="13"/>
      <c r="J479" s="13"/>
      <c r="L479" s="140"/>
      <c r="M479" s="140"/>
    </row>
    <row r="480">
      <c r="D480" s="13"/>
      <c r="E480" s="182"/>
      <c r="G480" s="122"/>
      <c r="H480" s="182"/>
      <c r="I480" s="13"/>
      <c r="J480" s="13"/>
      <c r="L480" s="140"/>
      <c r="M480" s="140"/>
    </row>
    <row r="481">
      <c r="D481" s="13"/>
      <c r="E481" s="182"/>
      <c r="G481" s="122"/>
      <c r="H481" s="182"/>
      <c r="I481" s="13"/>
      <c r="J481" s="13"/>
      <c r="L481" s="140"/>
      <c r="M481" s="140"/>
    </row>
    <row r="482">
      <c r="D482" s="13"/>
      <c r="E482" s="182"/>
      <c r="G482" s="122"/>
      <c r="H482" s="182"/>
      <c r="I482" s="13"/>
      <c r="J482" s="13"/>
      <c r="L482" s="140"/>
      <c r="M482" s="140"/>
    </row>
    <row r="483">
      <c r="D483" s="13"/>
      <c r="E483" s="182"/>
      <c r="G483" s="122"/>
      <c r="H483" s="182"/>
      <c r="I483" s="13"/>
      <c r="J483" s="13"/>
      <c r="L483" s="140"/>
      <c r="M483" s="140"/>
    </row>
    <row r="484">
      <c r="D484" s="13"/>
      <c r="E484" s="182"/>
      <c r="G484" s="122"/>
      <c r="H484" s="182"/>
      <c r="I484" s="13"/>
      <c r="J484" s="13"/>
      <c r="L484" s="140"/>
      <c r="M484" s="140"/>
    </row>
    <row r="485">
      <c r="D485" s="13"/>
      <c r="E485" s="182"/>
      <c r="G485" s="122"/>
      <c r="H485" s="182"/>
      <c r="I485" s="13"/>
      <c r="J485" s="13"/>
      <c r="L485" s="140"/>
      <c r="M485" s="140"/>
    </row>
    <row r="486">
      <c r="D486" s="13"/>
      <c r="E486" s="182"/>
      <c r="G486" s="122"/>
      <c r="H486" s="182"/>
      <c r="I486" s="13"/>
      <c r="J486" s="13"/>
      <c r="L486" s="140"/>
      <c r="M486" s="140"/>
    </row>
    <row r="487">
      <c r="D487" s="13"/>
      <c r="E487" s="182"/>
      <c r="G487" s="122"/>
      <c r="H487" s="182"/>
      <c r="I487" s="13"/>
      <c r="J487" s="13"/>
      <c r="L487" s="140"/>
      <c r="M487" s="140"/>
    </row>
    <row r="488">
      <c r="D488" s="13"/>
      <c r="E488" s="182"/>
      <c r="G488" s="122"/>
      <c r="H488" s="182"/>
      <c r="I488" s="13"/>
      <c r="J488" s="13"/>
      <c r="L488" s="140"/>
      <c r="M488" s="140"/>
    </row>
    <row r="489">
      <c r="D489" s="13"/>
      <c r="E489" s="182"/>
      <c r="G489" s="122"/>
      <c r="H489" s="182"/>
      <c r="I489" s="13"/>
      <c r="J489" s="13"/>
      <c r="L489" s="140"/>
      <c r="M489" s="140"/>
    </row>
    <row r="490">
      <c r="D490" s="13"/>
      <c r="E490" s="182"/>
      <c r="G490" s="122"/>
      <c r="H490" s="182"/>
      <c r="I490" s="13"/>
      <c r="J490" s="13"/>
      <c r="L490" s="140"/>
      <c r="M490" s="140"/>
    </row>
    <row r="491">
      <c r="D491" s="13"/>
      <c r="E491" s="182"/>
      <c r="G491" s="122"/>
      <c r="H491" s="182"/>
      <c r="I491" s="13"/>
      <c r="J491" s="13"/>
      <c r="L491" s="140"/>
      <c r="M491" s="140"/>
    </row>
    <row r="492">
      <c r="D492" s="13"/>
      <c r="E492" s="182"/>
      <c r="G492" s="122"/>
      <c r="H492" s="182"/>
      <c r="I492" s="13"/>
      <c r="J492" s="13"/>
      <c r="L492" s="140"/>
      <c r="M492" s="140"/>
    </row>
    <row r="493">
      <c r="D493" s="13"/>
      <c r="E493" s="182"/>
      <c r="G493" s="122"/>
      <c r="H493" s="182"/>
      <c r="I493" s="13"/>
      <c r="J493" s="13"/>
      <c r="L493" s="140"/>
      <c r="M493" s="140"/>
    </row>
    <row r="494">
      <c r="D494" s="13"/>
      <c r="E494" s="182"/>
      <c r="G494" s="122"/>
      <c r="H494" s="182"/>
      <c r="I494" s="13"/>
      <c r="J494" s="13"/>
      <c r="L494" s="140"/>
      <c r="M494" s="140"/>
    </row>
    <row r="495">
      <c r="D495" s="13"/>
      <c r="E495" s="182"/>
      <c r="G495" s="122"/>
      <c r="H495" s="182"/>
      <c r="I495" s="13"/>
      <c r="J495" s="13"/>
      <c r="L495" s="140"/>
      <c r="M495" s="140"/>
    </row>
    <row r="496">
      <c r="D496" s="13"/>
      <c r="E496" s="182"/>
      <c r="G496" s="122"/>
      <c r="H496" s="182"/>
      <c r="I496" s="13"/>
      <c r="J496" s="13"/>
      <c r="L496" s="140"/>
      <c r="M496" s="140"/>
    </row>
    <row r="497">
      <c r="D497" s="13"/>
      <c r="E497" s="182"/>
      <c r="G497" s="122"/>
      <c r="H497" s="182"/>
      <c r="I497" s="13"/>
      <c r="J497" s="13"/>
      <c r="L497" s="140"/>
      <c r="M497" s="140"/>
    </row>
    <row r="498">
      <c r="D498" s="13"/>
      <c r="E498" s="182"/>
      <c r="G498" s="122"/>
      <c r="H498" s="182"/>
      <c r="I498" s="13"/>
      <c r="J498" s="13"/>
      <c r="L498" s="140"/>
      <c r="M498" s="140"/>
    </row>
    <row r="499">
      <c r="D499" s="13"/>
      <c r="E499" s="182"/>
      <c r="G499" s="122"/>
      <c r="H499" s="182"/>
      <c r="I499" s="13"/>
      <c r="J499" s="13"/>
      <c r="L499" s="140"/>
      <c r="M499" s="140"/>
    </row>
    <row r="500">
      <c r="D500" s="13"/>
      <c r="E500" s="182"/>
      <c r="G500" s="122"/>
      <c r="H500" s="182"/>
      <c r="I500" s="13"/>
      <c r="J500" s="13"/>
      <c r="L500" s="140"/>
      <c r="M500" s="140"/>
    </row>
    <row r="501">
      <c r="D501" s="13"/>
      <c r="E501" s="182"/>
      <c r="G501" s="122"/>
      <c r="H501" s="182"/>
      <c r="I501" s="13"/>
      <c r="J501" s="13"/>
      <c r="L501" s="140"/>
      <c r="M501" s="140"/>
    </row>
    <row r="502">
      <c r="D502" s="13"/>
      <c r="E502" s="182"/>
      <c r="G502" s="122"/>
      <c r="H502" s="182"/>
      <c r="I502" s="13"/>
      <c r="J502" s="13"/>
      <c r="L502" s="140"/>
      <c r="M502" s="140"/>
    </row>
    <row r="503">
      <c r="D503" s="13"/>
      <c r="E503" s="182"/>
      <c r="G503" s="122"/>
      <c r="H503" s="182"/>
      <c r="I503" s="13"/>
      <c r="J503" s="13"/>
      <c r="L503" s="140"/>
      <c r="M503" s="140"/>
    </row>
    <row r="504">
      <c r="D504" s="13"/>
      <c r="E504" s="182"/>
      <c r="G504" s="122"/>
      <c r="H504" s="182"/>
      <c r="I504" s="13"/>
      <c r="J504" s="13"/>
      <c r="L504" s="140"/>
      <c r="M504" s="140"/>
    </row>
    <row r="505">
      <c r="D505" s="13"/>
      <c r="E505" s="182"/>
      <c r="G505" s="122"/>
      <c r="H505" s="182"/>
      <c r="I505" s="13"/>
      <c r="J505" s="13"/>
      <c r="L505" s="140"/>
      <c r="M505" s="140"/>
    </row>
    <row r="506">
      <c r="D506" s="13"/>
      <c r="E506" s="182"/>
      <c r="G506" s="122"/>
      <c r="H506" s="182"/>
      <c r="I506" s="13"/>
      <c r="J506" s="13"/>
      <c r="L506" s="140"/>
      <c r="M506" s="140"/>
    </row>
    <row r="507">
      <c r="D507" s="13"/>
      <c r="E507" s="182"/>
      <c r="G507" s="122"/>
      <c r="H507" s="182"/>
      <c r="I507" s="13"/>
      <c r="J507" s="13"/>
      <c r="L507" s="140"/>
      <c r="M507" s="140"/>
    </row>
    <row r="508">
      <c r="D508" s="13"/>
      <c r="E508" s="182"/>
      <c r="G508" s="122"/>
      <c r="H508" s="182"/>
      <c r="I508" s="13"/>
      <c r="J508" s="13"/>
      <c r="L508" s="140"/>
      <c r="M508" s="140"/>
    </row>
    <row r="509">
      <c r="D509" s="13"/>
      <c r="E509" s="182"/>
      <c r="G509" s="122"/>
      <c r="H509" s="182"/>
      <c r="I509" s="13"/>
      <c r="J509" s="13"/>
      <c r="L509" s="140"/>
      <c r="M509" s="140"/>
    </row>
    <row r="510">
      <c r="D510" s="13"/>
      <c r="E510" s="182"/>
      <c r="G510" s="122"/>
      <c r="H510" s="182"/>
      <c r="I510" s="13"/>
      <c r="J510" s="13"/>
      <c r="L510" s="140"/>
      <c r="M510" s="140"/>
    </row>
    <row r="511">
      <c r="D511" s="13"/>
      <c r="E511" s="182"/>
      <c r="G511" s="122"/>
      <c r="H511" s="182"/>
      <c r="I511" s="13"/>
      <c r="J511" s="13"/>
      <c r="L511" s="140"/>
      <c r="M511" s="140"/>
    </row>
    <row r="512">
      <c r="D512" s="13"/>
      <c r="E512" s="182"/>
      <c r="G512" s="122"/>
      <c r="H512" s="182"/>
      <c r="I512" s="13"/>
      <c r="J512" s="13"/>
      <c r="L512" s="140"/>
      <c r="M512" s="140"/>
    </row>
    <row r="513">
      <c r="D513" s="13"/>
      <c r="E513" s="182"/>
      <c r="G513" s="122"/>
      <c r="H513" s="182"/>
      <c r="I513" s="13"/>
      <c r="J513" s="13"/>
      <c r="L513" s="140"/>
      <c r="M513" s="140"/>
    </row>
    <row r="514">
      <c r="D514" s="13"/>
      <c r="E514" s="182"/>
      <c r="G514" s="122"/>
      <c r="H514" s="182"/>
      <c r="I514" s="13"/>
      <c r="J514" s="13"/>
      <c r="L514" s="140"/>
      <c r="M514" s="140"/>
    </row>
    <row r="515">
      <c r="D515" s="13"/>
      <c r="E515" s="182"/>
      <c r="G515" s="122"/>
      <c r="H515" s="182"/>
      <c r="I515" s="13"/>
      <c r="J515" s="13"/>
      <c r="L515" s="140"/>
      <c r="M515" s="140"/>
    </row>
    <row r="516">
      <c r="D516" s="13"/>
      <c r="E516" s="182"/>
      <c r="G516" s="122"/>
      <c r="H516" s="182"/>
      <c r="I516" s="13"/>
      <c r="J516" s="13"/>
      <c r="L516" s="140"/>
      <c r="M516" s="140"/>
    </row>
    <row r="517">
      <c r="D517" s="13"/>
      <c r="E517" s="182"/>
      <c r="G517" s="122"/>
      <c r="H517" s="182"/>
      <c r="I517" s="13"/>
      <c r="J517" s="13"/>
      <c r="L517" s="140"/>
      <c r="M517" s="140"/>
    </row>
    <row r="518">
      <c r="D518" s="13"/>
      <c r="E518" s="182"/>
      <c r="G518" s="122"/>
      <c r="H518" s="182"/>
      <c r="I518" s="13"/>
      <c r="J518" s="13"/>
      <c r="L518" s="140"/>
      <c r="M518" s="140"/>
    </row>
    <row r="519">
      <c r="D519" s="13"/>
      <c r="E519" s="182"/>
      <c r="G519" s="122"/>
      <c r="H519" s="182"/>
      <c r="I519" s="13"/>
      <c r="J519" s="13"/>
      <c r="L519" s="140"/>
      <c r="M519" s="140"/>
    </row>
    <row r="520">
      <c r="D520" s="13"/>
      <c r="E520" s="182"/>
      <c r="G520" s="122"/>
      <c r="H520" s="182"/>
      <c r="I520" s="13"/>
      <c r="J520" s="13"/>
      <c r="L520" s="140"/>
      <c r="M520" s="140"/>
    </row>
    <row r="521">
      <c r="D521" s="13"/>
      <c r="E521" s="182"/>
      <c r="G521" s="122"/>
      <c r="H521" s="182"/>
      <c r="I521" s="13"/>
      <c r="J521" s="13"/>
      <c r="L521" s="140"/>
      <c r="M521" s="140"/>
    </row>
    <row r="522">
      <c r="D522" s="13"/>
      <c r="E522" s="182"/>
      <c r="G522" s="122"/>
      <c r="H522" s="182"/>
      <c r="I522" s="13"/>
      <c r="J522" s="13"/>
      <c r="L522" s="140"/>
      <c r="M522" s="140"/>
    </row>
    <row r="523">
      <c r="D523" s="13"/>
      <c r="E523" s="182"/>
      <c r="G523" s="122"/>
      <c r="H523" s="182"/>
      <c r="I523" s="13"/>
      <c r="J523" s="13"/>
      <c r="L523" s="140"/>
      <c r="M523" s="140"/>
    </row>
    <row r="524">
      <c r="D524" s="13"/>
      <c r="E524" s="182"/>
      <c r="G524" s="122"/>
      <c r="H524" s="182"/>
      <c r="I524" s="13"/>
      <c r="J524" s="13"/>
      <c r="L524" s="140"/>
      <c r="M524" s="140"/>
    </row>
    <row r="525">
      <c r="D525" s="13"/>
      <c r="E525" s="182"/>
      <c r="G525" s="122"/>
      <c r="H525" s="182"/>
      <c r="I525" s="13"/>
      <c r="J525" s="13"/>
      <c r="L525" s="140"/>
      <c r="M525" s="140"/>
    </row>
    <row r="526">
      <c r="D526" s="13"/>
      <c r="E526" s="182"/>
      <c r="G526" s="122"/>
      <c r="H526" s="182"/>
      <c r="I526" s="13"/>
      <c r="J526" s="13"/>
      <c r="L526" s="140"/>
      <c r="M526" s="140"/>
    </row>
    <row r="527">
      <c r="D527" s="13"/>
      <c r="E527" s="182"/>
      <c r="G527" s="122"/>
      <c r="H527" s="182"/>
      <c r="I527" s="13"/>
      <c r="J527" s="13"/>
      <c r="L527" s="140"/>
      <c r="M527" s="140"/>
    </row>
    <row r="528">
      <c r="D528" s="13"/>
      <c r="E528" s="182"/>
      <c r="G528" s="122"/>
      <c r="H528" s="182"/>
      <c r="I528" s="13"/>
      <c r="J528" s="13"/>
      <c r="L528" s="140"/>
      <c r="M528" s="140"/>
    </row>
    <row r="529">
      <c r="D529" s="13"/>
      <c r="E529" s="182"/>
      <c r="G529" s="122"/>
      <c r="H529" s="182"/>
      <c r="I529" s="13"/>
      <c r="J529" s="13"/>
      <c r="L529" s="140"/>
      <c r="M529" s="140"/>
    </row>
    <row r="530">
      <c r="D530" s="13"/>
      <c r="E530" s="182"/>
      <c r="G530" s="122"/>
      <c r="H530" s="182"/>
      <c r="I530" s="13"/>
      <c r="J530" s="13"/>
      <c r="L530" s="140"/>
      <c r="M530" s="140"/>
    </row>
    <row r="531">
      <c r="D531" s="13"/>
      <c r="E531" s="182"/>
      <c r="G531" s="122"/>
      <c r="H531" s="182"/>
      <c r="I531" s="13"/>
      <c r="J531" s="13"/>
      <c r="L531" s="140"/>
      <c r="M531" s="140"/>
    </row>
    <row r="532">
      <c r="D532" s="13"/>
      <c r="E532" s="182"/>
      <c r="G532" s="122"/>
      <c r="H532" s="182"/>
      <c r="I532" s="13"/>
      <c r="J532" s="13"/>
      <c r="L532" s="140"/>
      <c r="M532" s="140"/>
    </row>
    <row r="533">
      <c r="D533" s="13"/>
      <c r="E533" s="182"/>
      <c r="G533" s="122"/>
      <c r="H533" s="182"/>
      <c r="I533" s="13"/>
      <c r="J533" s="13"/>
      <c r="L533" s="140"/>
      <c r="M533" s="140"/>
    </row>
    <row r="534">
      <c r="D534" s="13"/>
      <c r="E534" s="182"/>
      <c r="G534" s="122"/>
      <c r="H534" s="182"/>
      <c r="I534" s="13"/>
      <c r="J534" s="13"/>
      <c r="L534" s="140"/>
      <c r="M534" s="140"/>
    </row>
    <row r="535">
      <c r="D535" s="13"/>
      <c r="E535" s="182"/>
      <c r="G535" s="122"/>
      <c r="H535" s="182"/>
      <c r="I535" s="13"/>
      <c r="J535" s="13"/>
      <c r="L535" s="140"/>
      <c r="M535" s="140"/>
    </row>
    <row r="536">
      <c r="D536" s="13"/>
      <c r="E536" s="182"/>
      <c r="G536" s="122"/>
      <c r="H536" s="182"/>
      <c r="I536" s="13"/>
      <c r="J536" s="13"/>
      <c r="L536" s="140"/>
      <c r="M536" s="140"/>
    </row>
    <row r="537">
      <c r="D537" s="13"/>
      <c r="E537" s="182"/>
      <c r="G537" s="122"/>
      <c r="H537" s="182"/>
      <c r="I537" s="13"/>
      <c r="J537" s="13"/>
      <c r="L537" s="140"/>
      <c r="M537" s="140"/>
    </row>
    <row r="538">
      <c r="D538" s="13"/>
      <c r="E538" s="182"/>
      <c r="G538" s="122"/>
      <c r="H538" s="182"/>
      <c r="I538" s="13"/>
      <c r="J538" s="13"/>
      <c r="L538" s="140"/>
      <c r="M538" s="140"/>
    </row>
    <row r="539">
      <c r="D539" s="13"/>
      <c r="E539" s="182"/>
      <c r="G539" s="122"/>
      <c r="H539" s="182"/>
      <c r="I539" s="13"/>
      <c r="J539" s="13"/>
      <c r="L539" s="140"/>
      <c r="M539" s="140"/>
    </row>
    <row r="540">
      <c r="D540" s="13"/>
      <c r="E540" s="182"/>
      <c r="G540" s="122"/>
      <c r="H540" s="182"/>
      <c r="I540" s="13"/>
      <c r="J540" s="13"/>
      <c r="L540" s="140"/>
      <c r="M540" s="140"/>
    </row>
    <row r="541">
      <c r="D541" s="13"/>
      <c r="E541" s="182"/>
      <c r="G541" s="122"/>
      <c r="H541" s="182"/>
      <c r="I541" s="13"/>
      <c r="J541" s="13"/>
      <c r="L541" s="140"/>
      <c r="M541" s="140"/>
    </row>
    <row r="542">
      <c r="D542" s="13"/>
      <c r="E542" s="182"/>
      <c r="G542" s="122"/>
      <c r="H542" s="182"/>
      <c r="I542" s="13"/>
      <c r="J542" s="13"/>
      <c r="L542" s="140"/>
      <c r="M542" s="140"/>
    </row>
    <row r="543">
      <c r="D543" s="13"/>
      <c r="E543" s="182"/>
      <c r="G543" s="122"/>
      <c r="H543" s="182"/>
      <c r="I543" s="13"/>
      <c r="J543" s="13"/>
      <c r="L543" s="140"/>
      <c r="M543" s="140"/>
    </row>
    <row r="544">
      <c r="D544" s="13"/>
      <c r="E544" s="182"/>
      <c r="G544" s="122"/>
      <c r="H544" s="182"/>
      <c r="I544" s="13"/>
      <c r="J544" s="13"/>
      <c r="L544" s="140"/>
      <c r="M544" s="140"/>
    </row>
    <row r="545">
      <c r="D545" s="13"/>
      <c r="E545" s="182"/>
      <c r="G545" s="122"/>
      <c r="H545" s="182"/>
      <c r="I545" s="13"/>
      <c r="J545" s="13"/>
      <c r="L545" s="140"/>
      <c r="M545" s="140"/>
    </row>
    <row r="546">
      <c r="D546" s="13"/>
      <c r="E546" s="182"/>
      <c r="G546" s="122"/>
      <c r="H546" s="182"/>
      <c r="I546" s="13"/>
      <c r="J546" s="13"/>
      <c r="L546" s="140"/>
      <c r="M546" s="140"/>
    </row>
    <row r="547">
      <c r="D547" s="13"/>
      <c r="E547" s="182"/>
      <c r="G547" s="122"/>
      <c r="H547" s="182"/>
      <c r="I547" s="13"/>
      <c r="J547" s="13"/>
      <c r="L547" s="140"/>
      <c r="M547" s="140"/>
    </row>
    <row r="548">
      <c r="D548" s="13"/>
      <c r="E548" s="182"/>
      <c r="G548" s="122"/>
      <c r="H548" s="182"/>
      <c r="I548" s="13"/>
      <c r="J548" s="13"/>
      <c r="L548" s="140"/>
      <c r="M548" s="140"/>
    </row>
    <row r="549">
      <c r="D549" s="13"/>
      <c r="E549" s="182"/>
      <c r="G549" s="122"/>
      <c r="H549" s="182"/>
      <c r="I549" s="13"/>
      <c r="J549" s="13"/>
      <c r="L549" s="140"/>
      <c r="M549" s="140"/>
    </row>
    <row r="550">
      <c r="D550" s="13"/>
      <c r="E550" s="182"/>
      <c r="G550" s="122"/>
      <c r="H550" s="182"/>
      <c r="I550" s="13"/>
      <c r="J550" s="13"/>
      <c r="L550" s="140"/>
      <c r="M550" s="140"/>
    </row>
    <row r="551">
      <c r="D551" s="13"/>
      <c r="E551" s="182"/>
      <c r="G551" s="122"/>
      <c r="H551" s="182"/>
      <c r="I551" s="13"/>
      <c r="J551" s="13"/>
      <c r="L551" s="140"/>
      <c r="M551" s="140"/>
    </row>
    <row r="552">
      <c r="D552" s="13"/>
      <c r="E552" s="182"/>
      <c r="G552" s="122"/>
      <c r="H552" s="182"/>
      <c r="I552" s="13"/>
      <c r="J552" s="13"/>
      <c r="L552" s="140"/>
      <c r="M552" s="140"/>
    </row>
    <row r="553">
      <c r="D553" s="13"/>
      <c r="E553" s="182"/>
      <c r="G553" s="122"/>
      <c r="H553" s="182"/>
      <c r="I553" s="13"/>
      <c r="J553" s="13"/>
      <c r="L553" s="140"/>
      <c r="M553" s="140"/>
    </row>
    <row r="554">
      <c r="D554" s="13"/>
      <c r="E554" s="182"/>
      <c r="G554" s="122"/>
      <c r="H554" s="182"/>
      <c r="I554" s="13"/>
      <c r="J554" s="13"/>
      <c r="L554" s="140"/>
      <c r="M554" s="140"/>
    </row>
    <row r="555">
      <c r="D555" s="13"/>
      <c r="E555" s="182"/>
      <c r="G555" s="122"/>
      <c r="H555" s="182"/>
      <c r="I555" s="13"/>
      <c r="J555" s="13"/>
      <c r="L555" s="140"/>
      <c r="M555" s="140"/>
    </row>
    <row r="556">
      <c r="D556" s="13"/>
      <c r="E556" s="182"/>
      <c r="G556" s="122"/>
      <c r="H556" s="182"/>
      <c r="I556" s="13"/>
      <c r="J556" s="13"/>
      <c r="L556" s="140"/>
      <c r="M556" s="140"/>
    </row>
    <row r="557">
      <c r="D557" s="13"/>
      <c r="E557" s="182"/>
      <c r="G557" s="122"/>
      <c r="H557" s="182"/>
      <c r="I557" s="13"/>
      <c r="J557" s="13"/>
      <c r="L557" s="140"/>
      <c r="M557" s="140"/>
    </row>
    <row r="558">
      <c r="D558" s="13"/>
      <c r="E558" s="182"/>
      <c r="G558" s="122"/>
      <c r="H558" s="182"/>
      <c r="I558" s="13"/>
      <c r="J558" s="13"/>
      <c r="L558" s="140"/>
      <c r="M558" s="140"/>
    </row>
    <row r="559">
      <c r="D559" s="13"/>
      <c r="E559" s="182"/>
      <c r="G559" s="122"/>
      <c r="H559" s="182"/>
      <c r="I559" s="13"/>
      <c r="J559" s="13"/>
      <c r="L559" s="140"/>
      <c r="M559" s="140"/>
    </row>
    <row r="560">
      <c r="D560" s="13"/>
      <c r="E560" s="182"/>
      <c r="G560" s="122"/>
      <c r="H560" s="182"/>
      <c r="I560" s="13"/>
      <c r="J560" s="13"/>
      <c r="L560" s="140"/>
      <c r="M560" s="140"/>
    </row>
    <row r="561">
      <c r="D561" s="13"/>
      <c r="E561" s="182"/>
      <c r="G561" s="122"/>
      <c r="H561" s="182"/>
      <c r="I561" s="13"/>
      <c r="J561" s="13"/>
      <c r="L561" s="140"/>
      <c r="M561" s="140"/>
    </row>
    <row r="562">
      <c r="D562" s="13"/>
      <c r="E562" s="182"/>
      <c r="G562" s="122"/>
      <c r="H562" s="182"/>
      <c r="I562" s="13"/>
      <c r="J562" s="13"/>
      <c r="L562" s="140"/>
      <c r="M562" s="140"/>
    </row>
    <row r="563">
      <c r="D563" s="13"/>
      <c r="E563" s="182"/>
      <c r="G563" s="122"/>
      <c r="H563" s="182"/>
      <c r="I563" s="13"/>
      <c r="J563" s="13"/>
      <c r="L563" s="140"/>
      <c r="M563" s="140"/>
    </row>
    <row r="564">
      <c r="D564" s="13"/>
      <c r="E564" s="182"/>
      <c r="G564" s="122"/>
      <c r="H564" s="182"/>
      <c r="I564" s="13"/>
      <c r="J564" s="13"/>
      <c r="L564" s="140"/>
      <c r="M564" s="140"/>
    </row>
    <row r="565">
      <c r="D565" s="13"/>
      <c r="E565" s="182"/>
      <c r="G565" s="122"/>
      <c r="H565" s="182"/>
      <c r="I565" s="13"/>
      <c r="J565" s="13"/>
      <c r="L565" s="140"/>
      <c r="M565" s="140"/>
    </row>
    <row r="566">
      <c r="D566" s="13"/>
      <c r="E566" s="182"/>
      <c r="G566" s="122"/>
      <c r="H566" s="182"/>
      <c r="I566" s="13"/>
      <c r="J566" s="13"/>
      <c r="L566" s="140"/>
      <c r="M566" s="140"/>
    </row>
    <row r="567">
      <c r="D567" s="13"/>
      <c r="E567" s="182"/>
      <c r="G567" s="122"/>
      <c r="H567" s="182"/>
      <c r="I567" s="13"/>
      <c r="J567" s="13"/>
      <c r="L567" s="140"/>
      <c r="M567" s="140"/>
    </row>
    <row r="568">
      <c r="D568" s="13"/>
      <c r="E568" s="182"/>
      <c r="G568" s="122"/>
      <c r="H568" s="182"/>
      <c r="I568" s="13"/>
      <c r="J568" s="13"/>
      <c r="L568" s="140"/>
      <c r="M568" s="140"/>
    </row>
    <row r="569">
      <c r="D569" s="13"/>
      <c r="E569" s="182"/>
      <c r="G569" s="122"/>
      <c r="H569" s="182"/>
      <c r="I569" s="13"/>
      <c r="J569" s="13"/>
      <c r="L569" s="140"/>
      <c r="M569" s="140"/>
    </row>
    <row r="570">
      <c r="D570" s="13"/>
      <c r="E570" s="182"/>
      <c r="G570" s="122"/>
      <c r="H570" s="182"/>
      <c r="I570" s="13"/>
      <c r="J570" s="13"/>
      <c r="L570" s="140"/>
      <c r="M570" s="140"/>
    </row>
    <row r="571">
      <c r="D571" s="13"/>
      <c r="E571" s="182"/>
      <c r="G571" s="122"/>
      <c r="H571" s="182"/>
      <c r="I571" s="13"/>
      <c r="J571" s="13"/>
      <c r="L571" s="140"/>
      <c r="M571" s="140"/>
    </row>
    <row r="572">
      <c r="D572" s="13"/>
      <c r="E572" s="182"/>
      <c r="G572" s="122"/>
      <c r="H572" s="182"/>
      <c r="I572" s="13"/>
      <c r="J572" s="13"/>
      <c r="L572" s="140"/>
      <c r="M572" s="140"/>
    </row>
    <row r="573">
      <c r="D573" s="13"/>
      <c r="E573" s="182"/>
      <c r="G573" s="122"/>
      <c r="H573" s="182"/>
      <c r="I573" s="13"/>
      <c r="J573" s="13"/>
      <c r="L573" s="140"/>
      <c r="M573" s="140"/>
    </row>
    <row r="574">
      <c r="D574" s="13"/>
      <c r="E574" s="182"/>
      <c r="G574" s="122"/>
      <c r="H574" s="182"/>
      <c r="I574" s="13"/>
      <c r="J574" s="13"/>
      <c r="L574" s="140"/>
      <c r="M574" s="140"/>
    </row>
    <row r="575">
      <c r="D575" s="13"/>
      <c r="E575" s="182"/>
      <c r="G575" s="122"/>
      <c r="H575" s="182"/>
      <c r="I575" s="13"/>
      <c r="J575" s="13"/>
      <c r="L575" s="140"/>
      <c r="M575" s="140"/>
    </row>
    <row r="576">
      <c r="D576" s="13"/>
      <c r="E576" s="182"/>
      <c r="G576" s="122"/>
      <c r="H576" s="182"/>
      <c r="I576" s="13"/>
      <c r="J576" s="13"/>
      <c r="L576" s="140"/>
      <c r="M576" s="140"/>
    </row>
    <row r="577">
      <c r="D577" s="13"/>
      <c r="E577" s="182"/>
      <c r="G577" s="122"/>
      <c r="H577" s="182"/>
      <c r="I577" s="13"/>
      <c r="J577" s="13"/>
      <c r="L577" s="140"/>
      <c r="M577" s="140"/>
    </row>
    <row r="578">
      <c r="D578" s="13"/>
      <c r="E578" s="182"/>
      <c r="G578" s="122"/>
      <c r="H578" s="182"/>
      <c r="I578" s="13"/>
      <c r="J578" s="13"/>
      <c r="L578" s="140"/>
      <c r="M578" s="140"/>
    </row>
    <row r="579">
      <c r="D579" s="13"/>
      <c r="E579" s="182"/>
      <c r="G579" s="122"/>
      <c r="H579" s="182"/>
      <c r="I579" s="13"/>
      <c r="J579" s="13"/>
      <c r="L579" s="140"/>
      <c r="M579" s="140"/>
    </row>
    <row r="580">
      <c r="D580" s="13"/>
      <c r="E580" s="182"/>
      <c r="G580" s="122"/>
      <c r="H580" s="182"/>
      <c r="I580" s="13"/>
      <c r="J580" s="13"/>
      <c r="L580" s="140"/>
      <c r="M580" s="140"/>
    </row>
    <row r="581">
      <c r="D581" s="13"/>
      <c r="E581" s="182"/>
      <c r="G581" s="122"/>
      <c r="H581" s="182"/>
      <c r="I581" s="13"/>
      <c r="J581" s="13"/>
      <c r="L581" s="140"/>
      <c r="M581" s="140"/>
    </row>
    <row r="582">
      <c r="D582" s="13"/>
      <c r="E582" s="182"/>
      <c r="G582" s="122"/>
      <c r="H582" s="182"/>
      <c r="I582" s="13"/>
      <c r="J582" s="13"/>
      <c r="L582" s="140"/>
      <c r="M582" s="140"/>
    </row>
    <row r="583">
      <c r="D583" s="13"/>
      <c r="E583" s="182"/>
      <c r="G583" s="122"/>
      <c r="H583" s="182"/>
      <c r="I583" s="13"/>
      <c r="J583" s="13"/>
      <c r="L583" s="140"/>
      <c r="M583" s="140"/>
    </row>
    <row r="584">
      <c r="D584" s="13"/>
      <c r="E584" s="182"/>
      <c r="G584" s="122"/>
      <c r="H584" s="182"/>
      <c r="I584" s="13"/>
      <c r="J584" s="13"/>
      <c r="L584" s="140"/>
      <c r="M584" s="140"/>
    </row>
    <row r="585">
      <c r="D585" s="13"/>
      <c r="E585" s="182"/>
      <c r="G585" s="122"/>
      <c r="H585" s="182"/>
      <c r="I585" s="13"/>
      <c r="J585" s="13"/>
      <c r="L585" s="140"/>
      <c r="M585" s="140"/>
    </row>
    <row r="586">
      <c r="D586" s="13"/>
      <c r="E586" s="182"/>
      <c r="G586" s="122"/>
      <c r="H586" s="182"/>
      <c r="I586" s="13"/>
      <c r="J586" s="13"/>
      <c r="L586" s="140"/>
      <c r="M586" s="140"/>
    </row>
    <row r="587">
      <c r="D587" s="13"/>
      <c r="E587" s="182"/>
      <c r="G587" s="122"/>
      <c r="H587" s="182"/>
      <c r="I587" s="13"/>
      <c r="J587" s="13"/>
      <c r="L587" s="140"/>
      <c r="M587" s="140"/>
    </row>
    <row r="588">
      <c r="D588" s="13"/>
      <c r="E588" s="182"/>
      <c r="G588" s="122"/>
      <c r="H588" s="182"/>
      <c r="I588" s="13"/>
      <c r="J588" s="13"/>
      <c r="L588" s="140"/>
      <c r="M588" s="140"/>
    </row>
    <row r="589">
      <c r="D589" s="13"/>
      <c r="E589" s="182"/>
      <c r="G589" s="122"/>
      <c r="H589" s="182"/>
      <c r="I589" s="13"/>
      <c r="J589" s="13"/>
      <c r="L589" s="140"/>
      <c r="M589" s="140"/>
    </row>
    <row r="590">
      <c r="D590" s="13"/>
      <c r="E590" s="182"/>
      <c r="G590" s="122"/>
      <c r="H590" s="182"/>
      <c r="I590" s="13"/>
      <c r="J590" s="13"/>
      <c r="L590" s="140"/>
      <c r="M590" s="140"/>
    </row>
    <row r="591">
      <c r="D591" s="13"/>
      <c r="E591" s="182"/>
      <c r="G591" s="122"/>
      <c r="H591" s="182"/>
      <c r="I591" s="13"/>
      <c r="J591" s="13"/>
      <c r="L591" s="140"/>
      <c r="M591" s="140"/>
    </row>
    <row r="592">
      <c r="D592" s="13"/>
      <c r="E592" s="182"/>
      <c r="G592" s="122"/>
      <c r="H592" s="182"/>
      <c r="I592" s="13"/>
      <c r="J592" s="13"/>
      <c r="L592" s="140"/>
      <c r="M592" s="140"/>
    </row>
    <row r="593">
      <c r="D593" s="13"/>
      <c r="E593" s="182"/>
      <c r="G593" s="122"/>
      <c r="H593" s="182"/>
      <c r="I593" s="13"/>
      <c r="J593" s="13"/>
      <c r="L593" s="140"/>
      <c r="M593" s="140"/>
    </row>
    <row r="594">
      <c r="D594" s="13"/>
      <c r="E594" s="182"/>
      <c r="G594" s="122"/>
      <c r="H594" s="182"/>
      <c r="I594" s="13"/>
      <c r="J594" s="13"/>
      <c r="L594" s="140"/>
      <c r="M594" s="140"/>
    </row>
    <row r="595">
      <c r="D595" s="13"/>
      <c r="E595" s="182"/>
      <c r="G595" s="122"/>
      <c r="H595" s="182"/>
      <c r="I595" s="13"/>
      <c r="J595" s="13"/>
      <c r="L595" s="140"/>
      <c r="M595" s="140"/>
    </row>
    <row r="596">
      <c r="D596" s="13"/>
      <c r="E596" s="182"/>
      <c r="G596" s="122"/>
      <c r="H596" s="182"/>
      <c r="I596" s="13"/>
      <c r="J596" s="13"/>
      <c r="L596" s="140"/>
      <c r="M596" s="140"/>
    </row>
    <row r="597">
      <c r="D597" s="13"/>
      <c r="E597" s="182"/>
      <c r="G597" s="122"/>
      <c r="H597" s="182"/>
      <c r="I597" s="13"/>
      <c r="J597" s="13"/>
      <c r="L597" s="140"/>
      <c r="M597" s="140"/>
    </row>
    <row r="598">
      <c r="D598" s="13"/>
      <c r="E598" s="182"/>
      <c r="G598" s="122"/>
      <c r="H598" s="182"/>
      <c r="I598" s="13"/>
      <c r="J598" s="13"/>
      <c r="L598" s="140"/>
      <c r="M598" s="140"/>
    </row>
    <row r="599">
      <c r="D599" s="13"/>
      <c r="E599" s="182"/>
      <c r="G599" s="122"/>
      <c r="H599" s="182"/>
      <c r="I599" s="13"/>
      <c r="J599" s="13"/>
      <c r="L599" s="140"/>
      <c r="M599" s="140"/>
    </row>
    <row r="600">
      <c r="D600" s="13"/>
      <c r="E600" s="182"/>
      <c r="G600" s="122"/>
      <c r="H600" s="182"/>
      <c r="I600" s="13"/>
      <c r="J600" s="13"/>
      <c r="L600" s="140"/>
      <c r="M600" s="140"/>
    </row>
    <row r="601">
      <c r="D601" s="13"/>
      <c r="E601" s="182"/>
      <c r="G601" s="122"/>
      <c r="H601" s="182"/>
      <c r="I601" s="13"/>
      <c r="J601" s="13"/>
      <c r="L601" s="140"/>
      <c r="M601" s="140"/>
    </row>
    <row r="602">
      <c r="D602" s="13"/>
      <c r="E602" s="182"/>
      <c r="G602" s="122"/>
      <c r="H602" s="182"/>
      <c r="I602" s="13"/>
      <c r="J602" s="13"/>
      <c r="L602" s="140"/>
      <c r="M602" s="140"/>
    </row>
    <row r="603">
      <c r="D603" s="13"/>
      <c r="E603" s="182"/>
      <c r="G603" s="122"/>
      <c r="H603" s="182"/>
      <c r="I603" s="13"/>
      <c r="J603" s="13"/>
      <c r="L603" s="140"/>
      <c r="M603" s="140"/>
    </row>
    <row r="604">
      <c r="D604" s="13"/>
      <c r="E604" s="182"/>
      <c r="G604" s="122"/>
      <c r="H604" s="182"/>
      <c r="I604" s="13"/>
      <c r="J604" s="13"/>
      <c r="L604" s="140"/>
      <c r="M604" s="140"/>
    </row>
    <row r="605">
      <c r="D605" s="13"/>
      <c r="E605" s="182"/>
      <c r="G605" s="122"/>
      <c r="H605" s="182"/>
      <c r="I605" s="13"/>
      <c r="J605" s="13"/>
      <c r="L605" s="140"/>
      <c r="M605" s="140"/>
    </row>
    <row r="606">
      <c r="D606" s="13"/>
      <c r="E606" s="182"/>
      <c r="G606" s="122"/>
      <c r="H606" s="182"/>
      <c r="I606" s="13"/>
      <c r="J606" s="13"/>
      <c r="L606" s="140"/>
      <c r="M606" s="140"/>
    </row>
    <row r="607">
      <c r="D607" s="13"/>
      <c r="E607" s="182"/>
      <c r="G607" s="122"/>
      <c r="H607" s="182"/>
      <c r="I607" s="13"/>
      <c r="J607" s="13"/>
      <c r="L607" s="140"/>
      <c r="M607" s="140"/>
    </row>
    <row r="608">
      <c r="D608" s="13"/>
      <c r="E608" s="182"/>
      <c r="G608" s="122"/>
      <c r="H608" s="182"/>
      <c r="I608" s="13"/>
      <c r="J608" s="13"/>
      <c r="L608" s="140"/>
      <c r="M608" s="140"/>
    </row>
    <row r="609">
      <c r="D609" s="13"/>
      <c r="E609" s="182"/>
      <c r="G609" s="122"/>
      <c r="H609" s="182"/>
      <c r="I609" s="13"/>
      <c r="J609" s="13"/>
      <c r="L609" s="140"/>
      <c r="M609" s="140"/>
    </row>
    <row r="610">
      <c r="D610" s="13"/>
      <c r="E610" s="182"/>
      <c r="G610" s="122"/>
      <c r="H610" s="182"/>
      <c r="I610" s="13"/>
      <c r="J610" s="13"/>
      <c r="L610" s="140"/>
      <c r="M610" s="140"/>
    </row>
    <row r="611">
      <c r="D611" s="13"/>
      <c r="E611" s="182"/>
      <c r="G611" s="122"/>
      <c r="H611" s="182"/>
      <c r="I611" s="13"/>
      <c r="J611" s="13"/>
      <c r="L611" s="140"/>
      <c r="M611" s="140"/>
    </row>
    <row r="612">
      <c r="D612" s="13"/>
      <c r="E612" s="182"/>
      <c r="G612" s="122"/>
      <c r="H612" s="182"/>
      <c r="I612" s="13"/>
      <c r="J612" s="13"/>
      <c r="L612" s="140"/>
      <c r="M612" s="140"/>
    </row>
    <row r="613">
      <c r="D613" s="13"/>
      <c r="E613" s="182"/>
      <c r="G613" s="122"/>
      <c r="H613" s="182"/>
      <c r="I613" s="13"/>
      <c r="J613" s="13"/>
      <c r="L613" s="140"/>
      <c r="M613" s="140"/>
    </row>
    <row r="614">
      <c r="D614" s="13"/>
      <c r="E614" s="182"/>
      <c r="G614" s="122"/>
      <c r="H614" s="182"/>
      <c r="I614" s="13"/>
      <c r="J614" s="13"/>
      <c r="L614" s="140"/>
      <c r="M614" s="140"/>
    </row>
    <row r="615">
      <c r="D615" s="13"/>
      <c r="E615" s="182"/>
      <c r="G615" s="122"/>
      <c r="H615" s="182"/>
      <c r="I615" s="13"/>
      <c r="J615" s="13"/>
      <c r="L615" s="140"/>
      <c r="M615" s="140"/>
    </row>
    <row r="616">
      <c r="D616" s="13"/>
      <c r="E616" s="182"/>
      <c r="G616" s="122"/>
      <c r="H616" s="182"/>
      <c r="I616" s="13"/>
      <c r="J616" s="13"/>
      <c r="L616" s="140"/>
      <c r="M616" s="140"/>
    </row>
    <row r="617">
      <c r="D617" s="13"/>
      <c r="E617" s="182"/>
      <c r="G617" s="122"/>
      <c r="H617" s="182"/>
      <c r="I617" s="13"/>
      <c r="J617" s="13"/>
      <c r="L617" s="140"/>
      <c r="M617" s="140"/>
    </row>
    <row r="618">
      <c r="D618" s="13"/>
      <c r="E618" s="182"/>
      <c r="G618" s="122"/>
      <c r="H618" s="182"/>
      <c r="I618" s="13"/>
      <c r="J618" s="13"/>
      <c r="L618" s="140"/>
      <c r="M618" s="140"/>
    </row>
    <row r="619">
      <c r="D619" s="13"/>
      <c r="E619" s="182"/>
      <c r="G619" s="122"/>
      <c r="H619" s="182"/>
      <c r="I619" s="13"/>
      <c r="J619" s="13"/>
      <c r="L619" s="140"/>
      <c r="M619" s="140"/>
    </row>
    <row r="620">
      <c r="D620" s="13"/>
      <c r="E620" s="182"/>
      <c r="G620" s="122"/>
      <c r="H620" s="182"/>
      <c r="I620" s="13"/>
      <c r="J620" s="13"/>
      <c r="L620" s="140"/>
      <c r="M620" s="140"/>
    </row>
    <row r="621">
      <c r="D621" s="13"/>
      <c r="E621" s="182"/>
      <c r="G621" s="122"/>
      <c r="H621" s="182"/>
      <c r="I621" s="13"/>
      <c r="J621" s="13"/>
      <c r="L621" s="140"/>
      <c r="M621" s="140"/>
    </row>
    <row r="622">
      <c r="D622" s="13"/>
      <c r="E622" s="182"/>
      <c r="G622" s="122"/>
      <c r="H622" s="182"/>
      <c r="I622" s="13"/>
      <c r="J622" s="13"/>
      <c r="L622" s="140"/>
      <c r="M622" s="140"/>
    </row>
    <row r="623">
      <c r="D623" s="13"/>
      <c r="E623" s="182"/>
      <c r="G623" s="122"/>
      <c r="H623" s="182"/>
      <c r="I623" s="13"/>
      <c r="J623" s="13"/>
      <c r="L623" s="140"/>
      <c r="M623" s="140"/>
    </row>
    <row r="624">
      <c r="D624" s="13"/>
      <c r="E624" s="182"/>
      <c r="G624" s="122"/>
      <c r="H624" s="182"/>
      <c r="I624" s="13"/>
      <c r="J624" s="13"/>
      <c r="L624" s="140"/>
      <c r="M624" s="140"/>
    </row>
    <row r="625">
      <c r="D625" s="13"/>
      <c r="E625" s="182"/>
      <c r="G625" s="122"/>
      <c r="H625" s="182"/>
      <c r="I625" s="13"/>
      <c r="J625" s="13"/>
      <c r="L625" s="140"/>
      <c r="M625" s="140"/>
    </row>
    <row r="626">
      <c r="D626" s="13"/>
      <c r="E626" s="182"/>
      <c r="G626" s="122"/>
      <c r="H626" s="182"/>
      <c r="I626" s="13"/>
      <c r="J626" s="13"/>
      <c r="L626" s="140"/>
      <c r="M626" s="140"/>
    </row>
    <row r="627">
      <c r="D627" s="13"/>
      <c r="E627" s="182"/>
      <c r="G627" s="122"/>
      <c r="H627" s="182"/>
      <c r="I627" s="13"/>
      <c r="J627" s="13"/>
      <c r="L627" s="140"/>
      <c r="M627" s="140"/>
    </row>
    <row r="628">
      <c r="D628" s="13"/>
      <c r="E628" s="182"/>
      <c r="G628" s="122"/>
      <c r="H628" s="182"/>
      <c r="I628" s="13"/>
      <c r="J628" s="13"/>
      <c r="L628" s="140"/>
      <c r="M628" s="140"/>
    </row>
    <row r="629">
      <c r="D629" s="13"/>
      <c r="E629" s="182"/>
      <c r="G629" s="122"/>
      <c r="H629" s="182"/>
      <c r="I629" s="13"/>
      <c r="J629" s="13"/>
      <c r="L629" s="140"/>
      <c r="M629" s="140"/>
    </row>
    <row r="630">
      <c r="D630" s="13"/>
      <c r="E630" s="182"/>
      <c r="G630" s="122"/>
      <c r="H630" s="182"/>
      <c r="I630" s="13"/>
      <c r="J630" s="13"/>
      <c r="L630" s="140"/>
      <c r="M630" s="140"/>
    </row>
    <row r="631">
      <c r="D631" s="13"/>
      <c r="E631" s="182"/>
      <c r="G631" s="122"/>
      <c r="H631" s="182"/>
      <c r="I631" s="13"/>
      <c r="J631" s="13"/>
      <c r="L631" s="140"/>
      <c r="M631" s="140"/>
    </row>
    <row r="632">
      <c r="D632" s="13"/>
      <c r="E632" s="182"/>
      <c r="G632" s="122"/>
      <c r="H632" s="182"/>
      <c r="I632" s="13"/>
      <c r="J632" s="13"/>
      <c r="L632" s="140"/>
      <c r="M632" s="140"/>
    </row>
    <row r="633">
      <c r="D633" s="13"/>
      <c r="E633" s="182"/>
      <c r="G633" s="122"/>
      <c r="H633" s="182"/>
      <c r="I633" s="13"/>
      <c r="J633" s="13"/>
      <c r="L633" s="140"/>
      <c r="M633" s="140"/>
    </row>
    <row r="634">
      <c r="D634" s="13"/>
      <c r="E634" s="182"/>
      <c r="G634" s="122"/>
      <c r="H634" s="182"/>
      <c r="I634" s="13"/>
      <c r="J634" s="13"/>
      <c r="L634" s="140"/>
      <c r="M634" s="140"/>
    </row>
    <row r="635">
      <c r="D635" s="13"/>
      <c r="E635" s="182"/>
      <c r="G635" s="122"/>
      <c r="H635" s="182"/>
      <c r="I635" s="13"/>
      <c r="J635" s="13"/>
      <c r="L635" s="140"/>
      <c r="M635" s="140"/>
    </row>
    <row r="636">
      <c r="D636" s="13"/>
      <c r="E636" s="182"/>
      <c r="G636" s="122"/>
      <c r="H636" s="182"/>
      <c r="I636" s="13"/>
      <c r="J636" s="13"/>
      <c r="L636" s="140"/>
      <c r="M636" s="140"/>
    </row>
    <row r="637">
      <c r="D637" s="13"/>
      <c r="E637" s="182"/>
      <c r="G637" s="122"/>
      <c r="H637" s="182"/>
      <c r="I637" s="13"/>
      <c r="J637" s="13"/>
      <c r="L637" s="140"/>
      <c r="M637" s="140"/>
    </row>
    <row r="638">
      <c r="D638" s="13"/>
      <c r="E638" s="182"/>
      <c r="G638" s="122"/>
      <c r="H638" s="182"/>
      <c r="I638" s="13"/>
      <c r="J638" s="13"/>
      <c r="L638" s="140"/>
      <c r="M638" s="140"/>
    </row>
    <row r="639">
      <c r="D639" s="13"/>
      <c r="E639" s="182"/>
      <c r="G639" s="122"/>
      <c r="H639" s="182"/>
      <c r="I639" s="13"/>
      <c r="J639" s="13"/>
      <c r="L639" s="140"/>
      <c r="M639" s="140"/>
    </row>
    <row r="640">
      <c r="D640" s="13"/>
      <c r="E640" s="182"/>
      <c r="G640" s="122"/>
      <c r="H640" s="182"/>
      <c r="I640" s="13"/>
      <c r="J640" s="13"/>
      <c r="L640" s="140"/>
      <c r="M640" s="140"/>
    </row>
    <row r="641">
      <c r="D641" s="13"/>
      <c r="E641" s="182"/>
      <c r="G641" s="122"/>
      <c r="H641" s="182"/>
      <c r="I641" s="13"/>
      <c r="J641" s="13"/>
      <c r="L641" s="140"/>
      <c r="M641" s="140"/>
    </row>
    <row r="642">
      <c r="D642" s="13"/>
      <c r="E642" s="182"/>
      <c r="G642" s="122"/>
      <c r="H642" s="182"/>
      <c r="I642" s="13"/>
      <c r="J642" s="13"/>
      <c r="L642" s="140"/>
      <c r="M642" s="140"/>
    </row>
    <row r="643">
      <c r="D643" s="13"/>
      <c r="E643" s="182"/>
      <c r="G643" s="122"/>
      <c r="H643" s="182"/>
      <c r="I643" s="13"/>
      <c r="J643" s="13"/>
      <c r="L643" s="140"/>
      <c r="M643" s="140"/>
    </row>
    <row r="644">
      <c r="D644" s="13"/>
      <c r="E644" s="182"/>
      <c r="G644" s="122"/>
      <c r="H644" s="182"/>
      <c r="I644" s="13"/>
      <c r="J644" s="13"/>
      <c r="L644" s="140"/>
      <c r="M644" s="140"/>
    </row>
    <row r="645">
      <c r="D645" s="13"/>
      <c r="E645" s="182"/>
      <c r="G645" s="122"/>
      <c r="H645" s="182"/>
      <c r="I645" s="13"/>
      <c r="J645" s="13"/>
      <c r="L645" s="140"/>
      <c r="M645" s="140"/>
    </row>
    <row r="646">
      <c r="D646" s="13"/>
      <c r="E646" s="182"/>
      <c r="G646" s="122"/>
      <c r="H646" s="182"/>
      <c r="I646" s="13"/>
      <c r="J646" s="13"/>
      <c r="L646" s="140"/>
      <c r="M646" s="140"/>
    </row>
    <row r="647">
      <c r="D647" s="13"/>
      <c r="E647" s="182"/>
      <c r="G647" s="122"/>
      <c r="H647" s="182"/>
      <c r="I647" s="13"/>
      <c r="J647" s="13"/>
      <c r="L647" s="140"/>
      <c r="M647" s="140"/>
    </row>
    <row r="648">
      <c r="D648" s="13"/>
      <c r="E648" s="182"/>
      <c r="G648" s="122"/>
      <c r="H648" s="182"/>
      <c r="I648" s="13"/>
      <c r="J648" s="13"/>
      <c r="L648" s="140"/>
      <c r="M648" s="140"/>
    </row>
    <row r="649">
      <c r="D649" s="13"/>
      <c r="E649" s="182"/>
      <c r="G649" s="122"/>
      <c r="H649" s="182"/>
      <c r="I649" s="13"/>
      <c r="J649" s="13"/>
      <c r="L649" s="140"/>
      <c r="M649" s="140"/>
    </row>
    <row r="650">
      <c r="D650" s="13"/>
      <c r="E650" s="182"/>
      <c r="G650" s="122"/>
      <c r="H650" s="182"/>
      <c r="I650" s="13"/>
      <c r="J650" s="13"/>
      <c r="L650" s="140"/>
      <c r="M650" s="140"/>
    </row>
    <row r="651">
      <c r="D651" s="13"/>
      <c r="E651" s="182"/>
      <c r="G651" s="122"/>
      <c r="H651" s="182"/>
      <c r="I651" s="13"/>
      <c r="J651" s="13"/>
      <c r="L651" s="140"/>
      <c r="M651" s="140"/>
    </row>
    <row r="652">
      <c r="D652" s="13"/>
      <c r="E652" s="182"/>
      <c r="G652" s="122"/>
      <c r="H652" s="182"/>
      <c r="I652" s="13"/>
      <c r="J652" s="13"/>
      <c r="L652" s="140"/>
      <c r="M652" s="140"/>
    </row>
    <row r="653">
      <c r="D653" s="13"/>
      <c r="E653" s="182"/>
      <c r="G653" s="122"/>
      <c r="H653" s="182"/>
      <c r="I653" s="13"/>
      <c r="J653" s="13"/>
      <c r="L653" s="140"/>
      <c r="M653" s="140"/>
    </row>
    <row r="654">
      <c r="D654" s="13"/>
      <c r="E654" s="182"/>
      <c r="G654" s="122"/>
      <c r="H654" s="182"/>
      <c r="I654" s="13"/>
      <c r="J654" s="13"/>
      <c r="L654" s="140"/>
      <c r="M654" s="140"/>
    </row>
    <row r="655">
      <c r="D655" s="13"/>
      <c r="E655" s="182"/>
      <c r="G655" s="122"/>
      <c r="H655" s="182"/>
      <c r="I655" s="13"/>
      <c r="J655" s="13"/>
      <c r="L655" s="140"/>
      <c r="M655" s="140"/>
    </row>
    <row r="656">
      <c r="D656" s="13"/>
      <c r="E656" s="182"/>
      <c r="G656" s="122"/>
      <c r="H656" s="182"/>
      <c r="I656" s="13"/>
      <c r="J656" s="13"/>
      <c r="L656" s="140"/>
      <c r="M656" s="140"/>
    </row>
    <row r="657">
      <c r="D657" s="13"/>
      <c r="E657" s="182"/>
      <c r="G657" s="122"/>
      <c r="H657" s="182"/>
      <c r="I657" s="13"/>
      <c r="J657" s="13"/>
      <c r="L657" s="140"/>
      <c r="M657" s="140"/>
    </row>
    <row r="658">
      <c r="D658" s="13"/>
      <c r="E658" s="182"/>
      <c r="G658" s="122"/>
      <c r="H658" s="182"/>
      <c r="I658" s="13"/>
      <c r="J658" s="13"/>
      <c r="L658" s="140"/>
      <c r="M658" s="140"/>
    </row>
    <row r="659">
      <c r="D659" s="13"/>
      <c r="E659" s="182"/>
      <c r="G659" s="122"/>
      <c r="H659" s="182"/>
      <c r="I659" s="13"/>
      <c r="J659" s="13"/>
      <c r="L659" s="140"/>
      <c r="M659" s="140"/>
    </row>
    <row r="660">
      <c r="D660" s="13"/>
      <c r="E660" s="182"/>
      <c r="G660" s="122"/>
      <c r="H660" s="182"/>
      <c r="I660" s="13"/>
      <c r="J660" s="13"/>
      <c r="L660" s="140"/>
      <c r="M660" s="140"/>
    </row>
    <row r="661">
      <c r="D661" s="13"/>
      <c r="E661" s="182"/>
      <c r="G661" s="122"/>
      <c r="H661" s="182"/>
      <c r="I661" s="13"/>
      <c r="J661" s="13"/>
      <c r="L661" s="140"/>
      <c r="M661" s="140"/>
    </row>
    <row r="662">
      <c r="D662" s="13"/>
      <c r="E662" s="182"/>
      <c r="G662" s="122"/>
      <c r="H662" s="182"/>
      <c r="I662" s="13"/>
      <c r="J662" s="13"/>
      <c r="L662" s="140"/>
      <c r="M662" s="140"/>
    </row>
    <row r="663">
      <c r="D663" s="13"/>
      <c r="E663" s="182"/>
      <c r="G663" s="122"/>
      <c r="H663" s="182"/>
      <c r="I663" s="13"/>
      <c r="J663" s="13"/>
      <c r="L663" s="140"/>
      <c r="M663" s="140"/>
    </row>
    <row r="664">
      <c r="D664" s="13"/>
      <c r="E664" s="182"/>
      <c r="G664" s="122"/>
      <c r="H664" s="182"/>
      <c r="I664" s="13"/>
      <c r="J664" s="13"/>
      <c r="L664" s="140"/>
      <c r="M664" s="140"/>
    </row>
    <row r="665">
      <c r="D665" s="13"/>
      <c r="E665" s="182"/>
      <c r="G665" s="122"/>
      <c r="H665" s="182"/>
      <c r="I665" s="13"/>
      <c r="J665" s="13"/>
      <c r="L665" s="140"/>
      <c r="M665" s="140"/>
    </row>
    <row r="666">
      <c r="D666" s="13"/>
      <c r="E666" s="182"/>
      <c r="G666" s="122"/>
      <c r="H666" s="182"/>
      <c r="I666" s="13"/>
      <c r="J666" s="13"/>
      <c r="L666" s="140"/>
      <c r="M666" s="140"/>
    </row>
    <row r="667">
      <c r="D667" s="13"/>
      <c r="E667" s="182"/>
      <c r="G667" s="122"/>
      <c r="H667" s="182"/>
      <c r="I667" s="13"/>
      <c r="J667" s="13"/>
      <c r="L667" s="140"/>
      <c r="M667" s="140"/>
    </row>
    <row r="668">
      <c r="D668" s="13"/>
      <c r="E668" s="182"/>
      <c r="G668" s="122"/>
      <c r="H668" s="182"/>
      <c r="I668" s="13"/>
      <c r="J668" s="13"/>
      <c r="L668" s="140"/>
      <c r="M668" s="140"/>
    </row>
    <row r="669">
      <c r="D669" s="13"/>
      <c r="E669" s="182"/>
      <c r="G669" s="122"/>
      <c r="H669" s="182"/>
      <c r="I669" s="13"/>
      <c r="J669" s="13"/>
      <c r="L669" s="140"/>
      <c r="M669" s="140"/>
    </row>
    <row r="670">
      <c r="D670" s="13"/>
      <c r="E670" s="182"/>
      <c r="G670" s="122"/>
      <c r="H670" s="182"/>
      <c r="I670" s="13"/>
      <c r="J670" s="13"/>
      <c r="L670" s="140"/>
      <c r="M670" s="140"/>
    </row>
    <row r="671">
      <c r="D671" s="13"/>
      <c r="E671" s="182"/>
      <c r="G671" s="122"/>
      <c r="H671" s="182"/>
      <c r="I671" s="13"/>
      <c r="J671" s="13"/>
      <c r="L671" s="140"/>
      <c r="M671" s="140"/>
    </row>
    <row r="672">
      <c r="D672" s="13"/>
      <c r="E672" s="182"/>
      <c r="G672" s="122"/>
      <c r="H672" s="182"/>
      <c r="I672" s="13"/>
      <c r="J672" s="13"/>
      <c r="L672" s="140"/>
      <c r="M672" s="140"/>
    </row>
    <row r="673">
      <c r="D673" s="13"/>
      <c r="E673" s="182"/>
      <c r="G673" s="122"/>
      <c r="H673" s="182"/>
      <c r="I673" s="13"/>
      <c r="J673" s="13"/>
      <c r="L673" s="140"/>
      <c r="M673" s="140"/>
    </row>
    <row r="674">
      <c r="D674" s="13"/>
      <c r="E674" s="182"/>
      <c r="G674" s="122"/>
      <c r="H674" s="182"/>
      <c r="I674" s="13"/>
      <c r="J674" s="13"/>
      <c r="L674" s="140"/>
      <c r="M674" s="140"/>
    </row>
    <row r="675">
      <c r="D675" s="13"/>
      <c r="E675" s="182"/>
      <c r="G675" s="122"/>
      <c r="H675" s="182"/>
      <c r="I675" s="13"/>
      <c r="J675" s="13"/>
      <c r="L675" s="140"/>
      <c r="M675" s="140"/>
    </row>
    <row r="676">
      <c r="D676" s="13"/>
      <c r="E676" s="182"/>
      <c r="G676" s="122"/>
      <c r="H676" s="182"/>
      <c r="I676" s="13"/>
      <c r="J676" s="13"/>
      <c r="L676" s="140"/>
      <c r="M676" s="140"/>
    </row>
    <row r="677">
      <c r="D677" s="13"/>
      <c r="E677" s="182"/>
      <c r="G677" s="122"/>
      <c r="H677" s="182"/>
      <c r="I677" s="13"/>
      <c r="J677" s="13"/>
      <c r="L677" s="140"/>
      <c r="M677" s="140"/>
    </row>
    <row r="678">
      <c r="D678" s="13"/>
      <c r="E678" s="182"/>
      <c r="G678" s="122"/>
      <c r="H678" s="182"/>
      <c r="I678" s="13"/>
      <c r="J678" s="13"/>
      <c r="L678" s="140"/>
      <c r="M678" s="140"/>
    </row>
    <row r="679">
      <c r="D679" s="13"/>
      <c r="E679" s="182"/>
      <c r="G679" s="122"/>
      <c r="H679" s="182"/>
      <c r="I679" s="13"/>
      <c r="J679" s="13"/>
      <c r="L679" s="140"/>
      <c r="M679" s="140"/>
    </row>
    <row r="680">
      <c r="D680" s="13"/>
      <c r="E680" s="182"/>
      <c r="G680" s="122"/>
      <c r="H680" s="182"/>
      <c r="I680" s="13"/>
      <c r="J680" s="13"/>
      <c r="L680" s="140"/>
      <c r="M680" s="140"/>
    </row>
    <row r="681">
      <c r="D681" s="13"/>
      <c r="E681" s="182"/>
      <c r="G681" s="122"/>
      <c r="H681" s="182"/>
      <c r="I681" s="13"/>
      <c r="J681" s="13"/>
      <c r="L681" s="140"/>
      <c r="M681" s="140"/>
    </row>
    <row r="682">
      <c r="D682" s="13"/>
      <c r="E682" s="182"/>
      <c r="G682" s="122"/>
      <c r="H682" s="182"/>
      <c r="I682" s="13"/>
      <c r="J682" s="13"/>
      <c r="L682" s="140"/>
      <c r="M682" s="140"/>
    </row>
    <row r="683">
      <c r="D683" s="13"/>
      <c r="E683" s="182"/>
      <c r="G683" s="122"/>
      <c r="H683" s="182"/>
      <c r="I683" s="13"/>
      <c r="J683" s="13"/>
      <c r="L683" s="140"/>
      <c r="M683" s="140"/>
    </row>
    <row r="684">
      <c r="D684" s="13"/>
      <c r="E684" s="182"/>
      <c r="G684" s="122"/>
      <c r="H684" s="182"/>
      <c r="I684" s="13"/>
      <c r="J684" s="13"/>
      <c r="L684" s="140"/>
      <c r="M684" s="140"/>
    </row>
    <row r="685">
      <c r="D685" s="13"/>
      <c r="E685" s="182"/>
      <c r="G685" s="122"/>
      <c r="H685" s="182"/>
      <c r="I685" s="13"/>
      <c r="J685" s="13"/>
      <c r="L685" s="140"/>
      <c r="M685" s="140"/>
    </row>
    <row r="686">
      <c r="D686" s="13"/>
      <c r="E686" s="182"/>
      <c r="G686" s="122"/>
      <c r="H686" s="182"/>
      <c r="I686" s="13"/>
      <c r="J686" s="13"/>
      <c r="L686" s="140"/>
      <c r="M686" s="140"/>
    </row>
    <row r="687">
      <c r="D687" s="13"/>
      <c r="E687" s="182"/>
      <c r="G687" s="122"/>
      <c r="H687" s="182"/>
      <c r="I687" s="13"/>
      <c r="J687" s="13"/>
      <c r="L687" s="140"/>
      <c r="M687" s="140"/>
    </row>
    <row r="688">
      <c r="D688" s="13"/>
      <c r="E688" s="182"/>
      <c r="G688" s="122"/>
      <c r="H688" s="182"/>
      <c r="I688" s="13"/>
      <c r="J688" s="13"/>
      <c r="L688" s="140"/>
      <c r="M688" s="140"/>
    </row>
    <row r="689">
      <c r="D689" s="13"/>
      <c r="E689" s="182"/>
      <c r="G689" s="122"/>
      <c r="H689" s="182"/>
      <c r="I689" s="13"/>
      <c r="J689" s="13"/>
      <c r="L689" s="140"/>
      <c r="M689" s="140"/>
    </row>
    <row r="690">
      <c r="D690" s="13"/>
      <c r="E690" s="182"/>
      <c r="G690" s="122"/>
      <c r="H690" s="182"/>
      <c r="I690" s="13"/>
      <c r="J690" s="13"/>
      <c r="L690" s="140"/>
      <c r="M690" s="140"/>
    </row>
    <row r="691">
      <c r="D691" s="13"/>
      <c r="E691" s="182"/>
      <c r="G691" s="122"/>
      <c r="H691" s="182"/>
      <c r="I691" s="13"/>
      <c r="J691" s="13"/>
      <c r="L691" s="140"/>
      <c r="M691" s="140"/>
    </row>
    <row r="692">
      <c r="D692" s="13"/>
      <c r="E692" s="182"/>
      <c r="G692" s="122"/>
      <c r="H692" s="182"/>
      <c r="I692" s="13"/>
      <c r="J692" s="13"/>
      <c r="L692" s="140"/>
      <c r="M692" s="140"/>
    </row>
    <row r="693">
      <c r="D693" s="13"/>
      <c r="E693" s="182"/>
      <c r="G693" s="122"/>
      <c r="H693" s="182"/>
      <c r="I693" s="13"/>
      <c r="J693" s="13"/>
      <c r="L693" s="140"/>
      <c r="M693" s="140"/>
    </row>
    <row r="694">
      <c r="D694" s="13"/>
      <c r="E694" s="182"/>
      <c r="G694" s="122"/>
      <c r="H694" s="182"/>
      <c r="I694" s="13"/>
      <c r="J694" s="13"/>
      <c r="L694" s="140"/>
      <c r="M694" s="140"/>
    </row>
    <row r="695">
      <c r="D695" s="13"/>
      <c r="E695" s="182"/>
      <c r="G695" s="122"/>
      <c r="H695" s="182"/>
      <c r="I695" s="13"/>
      <c r="J695" s="13"/>
      <c r="L695" s="140"/>
      <c r="M695" s="140"/>
    </row>
    <row r="696">
      <c r="D696" s="13"/>
      <c r="E696" s="182"/>
      <c r="G696" s="122"/>
      <c r="H696" s="182"/>
      <c r="I696" s="13"/>
      <c r="J696" s="13"/>
      <c r="L696" s="140"/>
      <c r="M696" s="140"/>
    </row>
    <row r="697">
      <c r="D697" s="13"/>
      <c r="E697" s="182"/>
      <c r="G697" s="122"/>
      <c r="H697" s="182"/>
      <c r="I697" s="13"/>
      <c r="J697" s="13"/>
      <c r="L697" s="140"/>
      <c r="M697" s="140"/>
    </row>
    <row r="698">
      <c r="D698" s="13"/>
      <c r="E698" s="182"/>
      <c r="G698" s="122"/>
      <c r="H698" s="182"/>
      <c r="I698" s="13"/>
      <c r="J698" s="13"/>
      <c r="L698" s="140"/>
      <c r="M698" s="140"/>
    </row>
    <row r="699">
      <c r="D699" s="13"/>
      <c r="E699" s="182"/>
      <c r="G699" s="122"/>
      <c r="H699" s="182"/>
      <c r="I699" s="13"/>
      <c r="J699" s="13"/>
      <c r="L699" s="140"/>
      <c r="M699" s="140"/>
    </row>
    <row r="700">
      <c r="D700" s="13"/>
      <c r="E700" s="182"/>
      <c r="G700" s="122"/>
      <c r="H700" s="182"/>
      <c r="I700" s="13"/>
      <c r="J700" s="13"/>
      <c r="L700" s="140"/>
      <c r="M700" s="140"/>
    </row>
    <row r="701">
      <c r="D701" s="13"/>
      <c r="E701" s="182"/>
      <c r="G701" s="122"/>
      <c r="H701" s="182"/>
      <c r="I701" s="13"/>
      <c r="J701" s="13"/>
      <c r="L701" s="140"/>
      <c r="M701" s="140"/>
    </row>
    <row r="702">
      <c r="D702" s="13"/>
      <c r="E702" s="182"/>
      <c r="G702" s="122"/>
      <c r="H702" s="182"/>
      <c r="I702" s="13"/>
      <c r="J702" s="13"/>
      <c r="L702" s="140"/>
      <c r="M702" s="140"/>
    </row>
    <row r="703">
      <c r="D703" s="13"/>
      <c r="E703" s="182"/>
      <c r="G703" s="122"/>
      <c r="H703" s="182"/>
      <c r="I703" s="13"/>
      <c r="J703" s="13"/>
      <c r="L703" s="140"/>
      <c r="M703" s="140"/>
    </row>
    <row r="704">
      <c r="D704" s="13"/>
      <c r="E704" s="182"/>
      <c r="G704" s="122"/>
      <c r="H704" s="182"/>
      <c r="I704" s="13"/>
      <c r="J704" s="13"/>
      <c r="L704" s="140"/>
      <c r="M704" s="140"/>
    </row>
    <row r="705">
      <c r="D705" s="13"/>
      <c r="E705" s="182"/>
      <c r="G705" s="122"/>
      <c r="H705" s="182"/>
      <c r="I705" s="13"/>
      <c r="J705" s="13"/>
      <c r="L705" s="140"/>
      <c r="M705" s="140"/>
    </row>
    <row r="706">
      <c r="D706" s="13"/>
      <c r="E706" s="182"/>
      <c r="G706" s="122"/>
      <c r="H706" s="182"/>
      <c r="I706" s="13"/>
      <c r="J706" s="13"/>
      <c r="L706" s="140"/>
      <c r="M706" s="140"/>
    </row>
    <row r="707">
      <c r="D707" s="13"/>
      <c r="E707" s="182"/>
      <c r="G707" s="122"/>
      <c r="H707" s="182"/>
      <c r="I707" s="13"/>
      <c r="J707" s="13"/>
      <c r="L707" s="140"/>
      <c r="M707" s="140"/>
    </row>
    <row r="708">
      <c r="D708" s="13"/>
      <c r="E708" s="182"/>
      <c r="G708" s="122"/>
      <c r="H708" s="182"/>
      <c r="I708" s="13"/>
      <c r="J708" s="13"/>
      <c r="L708" s="140"/>
      <c r="M708" s="140"/>
    </row>
    <row r="709">
      <c r="D709" s="13"/>
      <c r="E709" s="182"/>
      <c r="G709" s="122"/>
      <c r="H709" s="182"/>
      <c r="I709" s="13"/>
      <c r="J709" s="13"/>
      <c r="L709" s="140"/>
      <c r="M709" s="140"/>
    </row>
    <row r="710">
      <c r="D710" s="13"/>
      <c r="E710" s="182"/>
      <c r="G710" s="122"/>
      <c r="H710" s="182"/>
      <c r="I710" s="13"/>
      <c r="J710" s="13"/>
      <c r="L710" s="140"/>
      <c r="M710" s="140"/>
    </row>
    <row r="711">
      <c r="D711" s="13"/>
      <c r="E711" s="182"/>
      <c r="G711" s="122"/>
      <c r="H711" s="182"/>
      <c r="I711" s="13"/>
      <c r="J711" s="13"/>
      <c r="L711" s="140"/>
      <c r="M711" s="140"/>
    </row>
    <row r="712">
      <c r="D712" s="13"/>
      <c r="E712" s="182"/>
      <c r="G712" s="122"/>
      <c r="H712" s="182"/>
      <c r="I712" s="13"/>
      <c r="J712" s="13"/>
      <c r="L712" s="140"/>
      <c r="M712" s="140"/>
    </row>
    <row r="713">
      <c r="D713" s="13"/>
      <c r="E713" s="182"/>
      <c r="G713" s="122"/>
      <c r="H713" s="182"/>
      <c r="I713" s="13"/>
      <c r="J713" s="13"/>
      <c r="L713" s="140"/>
      <c r="M713" s="140"/>
    </row>
    <row r="714">
      <c r="D714" s="13"/>
      <c r="E714" s="182"/>
      <c r="G714" s="122"/>
      <c r="H714" s="182"/>
      <c r="I714" s="13"/>
      <c r="J714" s="13"/>
      <c r="L714" s="140"/>
      <c r="M714" s="140"/>
    </row>
    <row r="715">
      <c r="D715" s="13"/>
      <c r="E715" s="182"/>
      <c r="G715" s="122"/>
      <c r="H715" s="182"/>
      <c r="I715" s="13"/>
      <c r="J715" s="13"/>
      <c r="L715" s="140"/>
      <c r="M715" s="140"/>
    </row>
    <row r="716">
      <c r="D716" s="13"/>
      <c r="E716" s="182"/>
      <c r="G716" s="122"/>
      <c r="H716" s="182"/>
      <c r="I716" s="13"/>
      <c r="J716" s="13"/>
      <c r="L716" s="140"/>
      <c r="M716" s="140"/>
    </row>
    <row r="717">
      <c r="D717" s="13"/>
      <c r="E717" s="182"/>
      <c r="G717" s="122"/>
      <c r="H717" s="182"/>
      <c r="I717" s="13"/>
      <c r="J717" s="13"/>
      <c r="L717" s="140"/>
      <c r="M717" s="140"/>
    </row>
    <row r="718">
      <c r="D718" s="13"/>
      <c r="E718" s="182"/>
      <c r="G718" s="122"/>
      <c r="H718" s="182"/>
      <c r="I718" s="13"/>
      <c r="J718" s="13"/>
      <c r="L718" s="140"/>
      <c r="M718" s="140"/>
    </row>
    <row r="719">
      <c r="D719" s="13"/>
      <c r="E719" s="182"/>
      <c r="G719" s="122"/>
      <c r="H719" s="182"/>
      <c r="I719" s="13"/>
      <c r="J719" s="13"/>
      <c r="L719" s="140"/>
      <c r="M719" s="140"/>
    </row>
    <row r="720">
      <c r="D720" s="13"/>
      <c r="E720" s="182"/>
      <c r="G720" s="122"/>
      <c r="H720" s="182"/>
      <c r="I720" s="13"/>
      <c r="J720" s="13"/>
      <c r="L720" s="140"/>
      <c r="M720" s="140"/>
    </row>
    <row r="721">
      <c r="D721" s="13"/>
      <c r="E721" s="182"/>
      <c r="G721" s="122"/>
      <c r="H721" s="182"/>
      <c r="I721" s="13"/>
      <c r="J721" s="13"/>
      <c r="L721" s="140"/>
      <c r="M721" s="140"/>
    </row>
    <row r="722">
      <c r="D722" s="13"/>
      <c r="E722" s="182"/>
      <c r="G722" s="122"/>
      <c r="H722" s="182"/>
      <c r="I722" s="13"/>
      <c r="J722" s="13"/>
      <c r="L722" s="140"/>
      <c r="M722" s="140"/>
    </row>
    <row r="723">
      <c r="D723" s="13"/>
      <c r="E723" s="182"/>
      <c r="G723" s="122"/>
      <c r="H723" s="182"/>
      <c r="I723" s="13"/>
      <c r="J723" s="13"/>
      <c r="L723" s="140"/>
      <c r="M723" s="140"/>
    </row>
    <row r="724">
      <c r="D724" s="13"/>
      <c r="E724" s="182"/>
      <c r="G724" s="122"/>
      <c r="H724" s="182"/>
      <c r="I724" s="13"/>
      <c r="J724" s="13"/>
      <c r="L724" s="140"/>
      <c r="M724" s="140"/>
    </row>
    <row r="725">
      <c r="D725" s="13"/>
      <c r="E725" s="182"/>
      <c r="G725" s="122"/>
      <c r="H725" s="182"/>
      <c r="I725" s="13"/>
      <c r="J725" s="13"/>
      <c r="L725" s="140"/>
      <c r="M725" s="140"/>
    </row>
    <row r="726">
      <c r="D726" s="13"/>
      <c r="E726" s="182"/>
      <c r="G726" s="122"/>
      <c r="H726" s="182"/>
      <c r="I726" s="13"/>
      <c r="J726" s="13"/>
      <c r="L726" s="140"/>
      <c r="M726" s="140"/>
    </row>
    <row r="727">
      <c r="D727" s="13"/>
      <c r="E727" s="182"/>
      <c r="G727" s="122"/>
      <c r="H727" s="182"/>
      <c r="I727" s="13"/>
      <c r="J727" s="13"/>
      <c r="L727" s="140"/>
      <c r="M727" s="140"/>
    </row>
    <row r="728">
      <c r="D728" s="13"/>
      <c r="E728" s="182"/>
      <c r="G728" s="122"/>
      <c r="H728" s="182"/>
      <c r="I728" s="13"/>
      <c r="J728" s="13"/>
      <c r="L728" s="140"/>
      <c r="M728" s="140"/>
    </row>
    <row r="729">
      <c r="D729" s="13"/>
      <c r="E729" s="182"/>
      <c r="G729" s="122"/>
      <c r="H729" s="182"/>
      <c r="I729" s="13"/>
      <c r="J729" s="13"/>
      <c r="L729" s="140"/>
      <c r="M729" s="140"/>
    </row>
    <row r="730">
      <c r="D730" s="13"/>
      <c r="E730" s="182"/>
      <c r="G730" s="122"/>
      <c r="H730" s="182"/>
      <c r="I730" s="13"/>
      <c r="J730" s="13"/>
      <c r="L730" s="140"/>
      <c r="M730" s="140"/>
    </row>
    <row r="731">
      <c r="D731" s="13"/>
      <c r="E731" s="182"/>
      <c r="G731" s="122"/>
      <c r="H731" s="182"/>
      <c r="I731" s="13"/>
      <c r="J731" s="13"/>
      <c r="L731" s="140"/>
      <c r="M731" s="140"/>
    </row>
    <row r="732">
      <c r="D732" s="13"/>
      <c r="E732" s="182"/>
      <c r="G732" s="122"/>
      <c r="H732" s="182"/>
      <c r="I732" s="13"/>
      <c r="J732" s="13"/>
      <c r="L732" s="140"/>
      <c r="M732" s="140"/>
    </row>
    <row r="733">
      <c r="D733" s="13"/>
      <c r="E733" s="182"/>
      <c r="G733" s="122"/>
      <c r="H733" s="182"/>
      <c r="I733" s="13"/>
      <c r="J733" s="13"/>
      <c r="L733" s="140"/>
      <c r="M733" s="140"/>
    </row>
    <row r="734">
      <c r="D734" s="13"/>
      <c r="E734" s="182"/>
      <c r="G734" s="122"/>
      <c r="H734" s="182"/>
      <c r="I734" s="13"/>
      <c r="J734" s="13"/>
      <c r="L734" s="140"/>
      <c r="M734" s="140"/>
    </row>
    <row r="735">
      <c r="D735" s="13"/>
      <c r="E735" s="182"/>
      <c r="G735" s="122"/>
      <c r="H735" s="182"/>
      <c r="I735" s="13"/>
      <c r="J735" s="13"/>
      <c r="L735" s="140"/>
      <c r="M735" s="140"/>
    </row>
    <row r="736">
      <c r="D736" s="13"/>
      <c r="E736" s="182"/>
      <c r="G736" s="122"/>
      <c r="H736" s="182"/>
      <c r="I736" s="13"/>
      <c r="J736" s="13"/>
      <c r="L736" s="140"/>
      <c r="M736" s="140"/>
    </row>
    <row r="737">
      <c r="D737" s="13"/>
      <c r="E737" s="182"/>
      <c r="G737" s="122"/>
      <c r="H737" s="182"/>
      <c r="I737" s="13"/>
      <c r="J737" s="13"/>
      <c r="L737" s="140"/>
      <c r="M737" s="140"/>
    </row>
    <row r="738">
      <c r="D738" s="13"/>
      <c r="E738" s="182"/>
      <c r="G738" s="122"/>
      <c r="H738" s="182"/>
      <c r="I738" s="13"/>
      <c r="J738" s="13"/>
      <c r="L738" s="140"/>
      <c r="M738" s="140"/>
    </row>
    <row r="739">
      <c r="D739" s="13"/>
      <c r="E739" s="182"/>
      <c r="G739" s="122"/>
      <c r="H739" s="182"/>
      <c r="I739" s="13"/>
      <c r="J739" s="13"/>
      <c r="L739" s="140"/>
      <c r="M739" s="140"/>
    </row>
    <row r="740">
      <c r="D740" s="13"/>
      <c r="E740" s="182"/>
      <c r="G740" s="122"/>
      <c r="H740" s="182"/>
      <c r="I740" s="13"/>
      <c r="J740" s="13"/>
      <c r="L740" s="140"/>
      <c r="M740" s="140"/>
    </row>
    <row r="741">
      <c r="D741" s="13"/>
      <c r="E741" s="182"/>
      <c r="G741" s="122"/>
      <c r="H741" s="182"/>
      <c r="I741" s="13"/>
      <c r="J741" s="13"/>
      <c r="L741" s="140"/>
      <c r="M741" s="140"/>
    </row>
    <row r="742">
      <c r="D742" s="13"/>
      <c r="E742" s="182"/>
      <c r="G742" s="122"/>
      <c r="H742" s="182"/>
      <c r="I742" s="13"/>
      <c r="J742" s="13"/>
      <c r="L742" s="140"/>
      <c r="M742" s="140"/>
    </row>
    <row r="743">
      <c r="D743" s="13"/>
      <c r="E743" s="182"/>
      <c r="G743" s="122"/>
      <c r="H743" s="182"/>
      <c r="I743" s="13"/>
      <c r="J743" s="13"/>
      <c r="L743" s="140"/>
      <c r="M743" s="140"/>
    </row>
    <row r="744">
      <c r="D744" s="13"/>
      <c r="E744" s="182"/>
      <c r="G744" s="122"/>
      <c r="H744" s="182"/>
      <c r="I744" s="13"/>
      <c r="J744" s="13"/>
      <c r="L744" s="140"/>
      <c r="M744" s="140"/>
    </row>
    <row r="745">
      <c r="D745" s="13"/>
      <c r="E745" s="182"/>
      <c r="G745" s="122"/>
      <c r="H745" s="182"/>
      <c r="I745" s="13"/>
      <c r="J745" s="13"/>
      <c r="L745" s="140"/>
      <c r="M745" s="140"/>
    </row>
    <row r="746">
      <c r="D746" s="13"/>
      <c r="E746" s="182"/>
      <c r="G746" s="122"/>
      <c r="H746" s="182"/>
      <c r="I746" s="13"/>
      <c r="J746" s="13"/>
      <c r="L746" s="140"/>
      <c r="M746" s="140"/>
    </row>
    <row r="747">
      <c r="D747" s="13"/>
      <c r="E747" s="182"/>
      <c r="G747" s="122"/>
      <c r="H747" s="182"/>
      <c r="I747" s="13"/>
      <c r="J747" s="13"/>
      <c r="L747" s="140"/>
      <c r="M747" s="140"/>
    </row>
    <row r="748">
      <c r="D748" s="13"/>
      <c r="E748" s="182"/>
      <c r="G748" s="122"/>
      <c r="H748" s="182"/>
      <c r="I748" s="13"/>
      <c r="J748" s="13"/>
      <c r="L748" s="140"/>
      <c r="M748" s="140"/>
    </row>
    <row r="749">
      <c r="D749" s="13"/>
      <c r="E749" s="182"/>
      <c r="G749" s="122"/>
      <c r="H749" s="182"/>
      <c r="I749" s="13"/>
      <c r="J749" s="13"/>
      <c r="L749" s="140"/>
      <c r="M749" s="140"/>
    </row>
    <row r="750">
      <c r="D750" s="13"/>
      <c r="E750" s="182"/>
      <c r="G750" s="122"/>
      <c r="H750" s="182"/>
      <c r="I750" s="13"/>
      <c r="J750" s="13"/>
      <c r="L750" s="140"/>
      <c r="M750" s="140"/>
    </row>
    <row r="751">
      <c r="D751" s="13"/>
      <c r="E751" s="182"/>
      <c r="G751" s="122"/>
      <c r="H751" s="182"/>
      <c r="I751" s="13"/>
      <c r="J751" s="13"/>
      <c r="L751" s="140"/>
      <c r="M751" s="140"/>
    </row>
    <row r="752">
      <c r="D752" s="13"/>
      <c r="E752" s="182"/>
      <c r="G752" s="122"/>
      <c r="H752" s="182"/>
      <c r="I752" s="13"/>
      <c r="J752" s="13"/>
      <c r="L752" s="140"/>
      <c r="M752" s="140"/>
    </row>
    <row r="753">
      <c r="D753" s="13"/>
      <c r="E753" s="182"/>
      <c r="G753" s="122"/>
      <c r="H753" s="182"/>
      <c r="I753" s="13"/>
      <c r="J753" s="13"/>
      <c r="L753" s="140"/>
      <c r="M753" s="140"/>
    </row>
    <row r="754">
      <c r="D754" s="13"/>
      <c r="E754" s="182"/>
      <c r="G754" s="122"/>
      <c r="H754" s="182"/>
      <c r="I754" s="13"/>
      <c r="J754" s="13"/>
      <c r="L754" s="140"/>
      <c r="M754" s="140"/>
    </row>
    <row r="755">
      <c r="D755" s="13"/>
      <c r="E755" s="182"/>
      <c r="G755" s="122"/>
      <c r="H755" s="182"/>
      <c r="I755" s="13"/>
      <c r="J755" s="13"/>
      <c r="L755" s="140"/>
      <c r="M755" s="140"/>
    </row>
    <row r="756">
      <c r="D756" s="13"/>
      <c r="E756" s="182"/>
      <c r="G756" s="122"/>
      <c r="H756" s="182"/>
      <c r="I756" s="13"/>
      <c r="J756" s="13"/>
      <c r="L756" s="140"/>
      <c r="M756" s="140"/>
    </row>
    <row r="757">
      <c r="D757" s="13"/>
      <c r="E757" s="182"/>
      <c r="G757" s="122"/>
      <c r="H757" s="182"/>
      <c r="I757" s="13"/>
      <c r="J757" s="13"/>
      <c r="L757" s="140"/>
      <c r="M757" s="140"/>
    </row>
    <row r="758">
      <c r="D758" s="13"/>
      <c r="E758" s="182"/>
      <c r="G758" s="122"/>
      <c r="H758" s="182"/>
      <c r="I758" s="13"/>
      <c r="J758" s="13"/>
      <c r="L758" s="140"/>
      <c r="M758" s="140"/>
    </row>
    <row r="759">
      <c r="D759" s="13"/>
      <c r="E759" s="182"/>
      <c r="G759" s="122"/>
      <c r="H759" s="182"/>
      <c r="I759" s="13"/>
      <c r="J759" s="13"/>
      <c r="L759" s="140"/>
      <c r="M759" s="140"/>
    </row>
    <row r="760">
      <c r="D760" s="13"/>
      <c r="E760" s="182"/>
      <c r="G760" s="122"/>
      <c r="H760" s="182"/>
      <c r="I760" s="13"/>
      <c r="J760" s="13"/>
      <c r="L760" s="140"/>
      <c r="M760" s="140"/>
    </row>
    <row r="761">
      <c r="D761" s="13"/>
      <c r="E761" s="182"/>
      <c r="G761" s="122"/>
      <c r="H761" s="182"/>
      <c r="I761" s="13"/>
      <c r="J761" s="13"/>
      <c r="L761" s="140"/>
      <c r="M761" s="140"/>
    </row>
    <row r="762">
      <c r="D762" s="13"/>
      <c r="E762" s="182"/>
      <c r="G762" s="122"/>
      <c r="H762" s="182"/>
      <c r="I762" s="13"/>
      <c r="J762" s="13"/>
      <c r="L762" s="140"/>
      <c r="M762" s="140"/>
    </row>
    <row r="763">
      <c r="D763" s="13"/>
      <c r="E763" s="182"/>
      <c r="G763" s="122"/>
      <c r="H763" s="182"/>
      <c r="I763" s="13"/>
      <c r="J763" s="13"/>
      <c r="L763" s="140"/>
      <c r="M763" s="140"/>
    </row>
    <row r="764">
      <c r="D764" s="13"/>
      <c r="E764" s="182"/>
      <c r="G764" s="122"/>
      <c r="H764" s="182"/>
      <c r="I764" s="13"/>
      <c r="J764" s="13"/>
      <c r="L764" s="140"/>
      <c r="M764" s="140"/>
    </row>
    <row r="765">
      <c r="D765" s="13"/>
      <c r="E765" s="182"/>
      <c r="G765" s="122"/>
      <c r="H765" s="182"/>
      <c r="I765" s="13"/>
      <c r="J765" s="13"/>
      <c r="L765" s="140"/>
      <c r="M765" s="140"/>
    </row>
    <row r="766">
      <c r="D766" s="13"/>
      <c r="E766" s="182"/>
      <c r="G766" s="122"/>
      <c r="H766" s="182"/>
      <c r="I766" s="13"/>
      <c r="J766" s="13"/>
      <c r="L766" s="140"/>
      <c r="M766" s="140"/>
    </row>
    <row r="767">
      <c r="D767" s="13"/>
      <c r="E767" s="182"/>
      <c r="G767" s="122"/>
      <c r="H767" s="182"/>
      <c r="I767" s="13"/>
      <c r="J767" s="13"/>
      <c r="L767" s="140"/>
      <c r="M767" s="140"/>
    </row>
    <row r="768">
      <c r="D768" s="13"/>
      <c r="E768" s="182"/>
      <c r="G768" s="122"/>
      <c r="H768" s="182"/>
      <c r="I768" s="13"/>
      <c r="J768" s="13"/>
      <c r="L768" s="140"/>
      <c r="M768" s="140"/>
    </row>
    <row r="769">
      <c r="D769" s="13"/>
      <c r="E769" s="182"/>
      <c r="G769" s="122"/>
      <c r="H769" s="182"/>
      <c r="I769" s="13"/>
      <c r="J769" s="13"/>
      <c r="L769" s="140"/>
      <c r="M769" s="140"/>
    </row>
    <row r="770">
      <c r="D770" s="13"/>
      <c r="E770" s="182"/>
      <c r="G770" s="122"/>
      <c r="H770" s="182"/>
      <c r="I770" s="13"/>
      <c r="J770" s="13"/>
      <c r="L770" s="140"/>
      <c r="M770" s="140"/>
    </row>
    <row r="771">
      <c r="D771" s="13"/>
      <c r="E771" s="182"/>
      <c r="G771" s="122"/>
      <c r="H771" s="182"/>
      <c r="I771" s="13"/>
      <c r="J771" s="13"/>
      <c r="L771" s="140"/>
      <c r="M771" s="140"/>
    </row>
    <row r="772">
      <c r="D772" s="13"/>
      <c r="E772" s="182"/>
      <c r="G772" s="122"/>
      <c r="H772" s="182"/>
      <c r="I772" s="13"/>
      <c r="J772" s="13"/>
      <c r="L772" s="140"/>
      <c r="M772" s="140"/>
    </row>
    <row r="773">
      <c r="D773" s="13"/>
      <c r="E773" s="182"/>
      <c r="G773" s="122"/>
      <c r="H773" s="182"/>
      <c r="I773" s="13"/>
      <c r="J773" s="13"/>
      <c r="L773" s="140"/>
      <c r="M773" s="140"/>
    </row>
    <row r="774">
      <c r="D774" s="13"/>
      <c r="E774" s="182"/>
      <c r="G774" s="122"/>
      <c r="H774" s="182"/>
      <c r="I774" s="13"/>
      <c r="J774" s="13"/>
      <c r="L774" s="140"/>
      <c r="M774" s="140"/>
    </row>
    <row r="775">
      <c r="D775" s="13"/>
      <c r="E775" s="182"/>
      <c r="G775" s="122"/>
      <c r="H775" s="182"/>
      <c r="I775" s="13"/>
      <c r="J775" s="13"/>
      <c r="L775" s="140"/>
      <c r="M775" s="140"/>
    </row>
    <row r="776">
      <c r="D776" s="13"/>
      <c r="E776" s="182"/>
      <c r="G776" s="122"/>
      <c r="H776" s="182"/>
      <c r="I776" s="13"/>
      <c r="J776" s="13"/>
      <c r="L776" s="140"/>
      <c r="M776" s="140"/>
    </row>
    <row r="777">
      <c r="D777" s="13"/>
      <c r="E777" s="182"/>
      <c r="G777" s="122"/>
      <c r="H777" s="182"/>
      <c r="I777" s="13"/>
      <c r="J777" s="13"/>
      <c r="L777" s="140"/>
      <c r="M777" s="140"/>
    </row>
    <row r="778">
      <c r="D778" s="13"/>
      <c r="E778" s="182"/>
      <c r="G778" s="122"/>
      <c r="H778" s="182"/>
      <c r="I778" s="13"/>
      <c r="J778" s="13"/>
      <c r="L778" s="140"/>
      <c r="M778" s="140"/>
    </row>
    <row r="779">
      <c r="D779" s="13"/>
      <c r="E779" s="182"/>
      <c r="G779" s="122"/>
      <c r="H779" s="182"/>
      <c r="I779" s="13"/>
      <c r="J779" s="13"/>
      <c r="L779" s="140"/>
      <c r="M779" s="140"/>
    </row>
    <row r="780">
      <c r="D780" s="13"/>
      <c r="E780" s="182"/>
      <c r="G780" s="122"/>
      <c r="H780" s="182"/>
      <c r="I780" s="13"/>
      <c r="J780" s="13"/>
      <c r="L780" s="140"/>
      <c r="M780" s="140"/>
    </row>
    <row r="781">
      <c r="D781" s="13"/>
      <c r="E781" s="182"/>
      <c r="G781" s="122"/>
      <c r="H781" s="182"/>
      <c r="I781" s="13"/>
      <c r="J781" s="13"/>
      <c r="L781" s="140"/>
      <c r="M781" s="140"/>
    </row>
    <row r="782">
      <c r="D782" s="13"/>
      <c r="E782" s="182"/>
      <c r="G782" s="122"/>
      <c r="H782" s="182"/>
      <c r="I782" s="13"/>
      <c r="J782" s="13"/>
      <c r="L782" s="140"/>
      <c r="M782" s="140"/>
    </row>
    <row r="783">
      <c r="D783" s="13"/>
      <c r="E783" s="182"/>
      <c r="G783" s="122"/>
      <c r="H783" s="182"/>
      <c r="I783" s="13"/>
      <c r="J783" s="13"/>
      <c r="L783" s="140"/>
      <c r="M783" s="140"/>
    </row>
    <row r="784">
      <c r="D784" s="13"/>
      <c r="E784" s="182"/>
      <c r="G784" s="122"/>
      <c r="H784" s="182"/>
      <c r="I784" s="13"/>
      <c r="J784" s="13"/>
      <c r="L784" s="140"/>
      <c r="M784" s="140"/>
    </row>
    <row r="785">
      <c r="D785" s="13"/>
      <c r="E785" s="182"/>
      <c r="G785" s="122"/>
      <c r="H785" s="182"/>
      <c r="I785" s="13"/>
      <c r="J785" s="13"/>
      <c r="L785" s="140"/>
      <c r="M785" s="140"/>
    </row>
    <row r="786">
      <c r="D786" s="13"/>
      <c r="E786" s="182"/>
      <c r="G786" s="122"/>
      <c r="H786" s="182"/>
      <c r="I786" s="13"/>
      <c r="J786" s="13"/>
      <c r="L786" s="140"/>
      <c r="M786" s="140"/>
    </row>
    <row r="787">
      <c r="D787" s="13"/>
      <c r="E787" s="182"/>
      <c r="G787" s="122"/>
      <c r="H787" s="182"/>
      <c r="I787" s="13"/>
      <c r="J787" s="13"/>
      <c r="L787" s="140"/>
      <c r="M787" s="140"/>
    </row>
    <row r="788">
      <c r="D788" s="13"/>
      <c r="E788" s="182"/>
      <c r="G788" s="122"/>
      <c r="H788" s="182"/>
      <c r="I788" s="13"/>
      <c r="J788" s="13"/>
      <c r="L788" s="140"/>
      <c r="M788" s="140"/>
    </row>
    <row r="789">
      <c r="D789" s="13"/>
      <c r="E789" s="182"/>
      <c r="G789" s="122"/>
      <c r="H789" s="182"/>
      <c r="I789" s="13"/>
      <c r="J789" s="13"/>
      <c r="L789" s="140"/>
      <c r="M789" s="140"/>
    </row>
    <row r="790">
      <c r="D790" s="13"/>
      <c r="E790" s="182"/>
      <c r="G790" s="122"/>
      <c r="H790" s="182"/>
      <c r="I790" s="13"/>
      <c r="J790" s="13"/>
      <c r="L790" s="140"/>
      <c r="M790" s="140"/>
    </row>
    <row r="791">
      <c r="D791" s="13"/>
      <c r="E791" s="182"/>
      <c r="G791" s="122"/>
      <c r="H791" s="182"/>
      <c r="I791" s="13"/>
      <c r="J791" s="13"/>
      <c r="L791" s="140"/>
      <c r="M791" s="140"/>
    </row>
    <row r="792">
      <c r="D792" s="13"/>
      <c r="E792" s="182"/>
      <c r="G792" s="122"/>
      <c r="H792" s="182"/>
      <c r="I792" s="13"/>
      <c r="J792" s="13"/>
      <c r="L792" s="140"/>
      <c r="M792" s="140"/>
    </row>
    <row r="793">
      <c r="D793" s="13"/>
      <c r="E793" s="182"/>
      <c r="G793" s="122"/>
      <c r="H793" s="182"/>
      <c r="I793" s="13"/>
      <c r="J793" s="13"/>
      <c r="L793" s="140"/>
      <c r="M793" s="140"/>
    </row>
    <row r="794">
      <c r="D794" s="13"/>
      <c r="E794" s="182"/>
      <c r="G794" s="122"/>
      <c r="H794" s="182"/>
      <c r="I794" s="13"/>
      <c r="J794" s="13"/>
      <c r="L794" s="140"/>
      <c r="M794" s="140"/>
    </row>
    <row r="795">
      <c r="D795" s="13"/>
      <c r="E795" s="182"/>
      <c r="G795" s="122"/>
      <c r="H795" s="182"/>
      <c r="I795" s="13"/>
      <c r="J795" s="13"/>
      <c r="L795" s="140"/>
      <c r="M795" s="140"/>
    </row>
    <row r="796">
      <c r="D796" s="13"/>
      <c r="E796" s="182"/>
      <c r="G796" s="122"/>
      <c r="H796" s="182"/>
      <c r="I796" s="13"/>
      <c r="J796" s="13"/>
      <c r="L796" s="140"/>
      <c r="M796" s="140"/>
    </row>
    <row r="797">
      <c r="D797" s="13"/>
      <c r="E797" s="182"/>
      <c r="G797" s="122"/>
      <c r="H797" s="182"/>
      <c r="I797" s="13"/>
      <c r="J797" s="13"/>
      <c r="L797" s="140"/>
      <c r="M797" s="140"/>
    </row>
    <row r="798">
      <c r="D798" s="13"/>
      <c r="E798" s="182"/>
      <c r="G798" s="122"/>
      <c r="H798" s="182"/>
      <c r="I798" s="13"/>
      <c r="J798" s="13"/>
      <c r="L798" s="140"/>
      <c r="M798" s="140"/>
    </row>
    <row r="799">
      <c r="D799" s="13"/>
      <c r="E799" s="182"/>
      <c r="G799" s="122"/>
      <c r="H799" s="182"/>
      <c r="I799" s="13"/>
      <c r="J799" s="13"/>
      <c r="L799" s="140"/>
      <c r="M799" s="140"/>
    </row>
    <row r="800">
      <c r="D800" s="13"/>
      <c r="E800" s="182"/>
      <c r="G800" s="122"/>
      <c r="H800" s="182"/>
      <c r="I800" s="13"/>
      <c r="J800" s="13"/>
      <c r="L800" s="140"/>
      <c r="M800" s="140"/>
    </row>
    <row r="801">
      <c r="D801" s="13"/>
      <c r="E801" s="182"/>
      <c r="G801" s="122"/>
      <c r="H801" s="182"/>
      <c r="I801" s="13"/>
      <c r="J801" s="13"/>
      <c r="L801" s="140"/>
      <c r="M801" s="140"/>
    </row>
    <row r="802">
      <c r="D802" s="13"/>
      <c r="E802" s="182"/>
      <c r="G802" s="122"/>
      <c r="H802" s="182"/>
      <c r="I802" s="13"/>
      <c r="J802" s="13"/>
      <c r="L802" s="140"/>
      <c r="M802" s="140"/>
    </row>
    <row r="803">
      <c r="D803" s="13"/>
      <c r="E803" s="182"/>
      <c r="G803" s="122"/>
      <c r="H803" s="182"/>
      <c r="I803" s="13"/>
      <c r="J803" s="13"/>
      <c r="L803" s="140"/>
      <c r="M803" s="140"/>
    </row>
    <row r="804">
      <c r="D804" s="13"/>
      <c r="E804" s="182"/>
      <c r="G804" s="122"/>
      <c r="H804" s="182"/>
      <c r="I804" s="13"/>
      <c r="J804" s="13"/>
      <c r="L804" s="140"/>
      <c r="M804" s="140"/>
    </row>
    <row r="805">
      <c r="D805" s="13"/>
      <c r="E805" s="182"/>
      <c r="G805" s="122"/>
      <c r="H805" s="182"/>
      <c r="I805" s="13"/>
      <c r="J805" s="13"/>
      <c r="L805" s="140"/>
      <c r="M805" s="140"/>
    </row>
    <row r="806">
      <c r="D806" s="13"/>
      <c r="E806" s="182"/>
      <c r="G806" s="122"/>
      <c r="H806" s="182"/>
      <c r="I806" s="13"/>
      <c r="J806" s="13"/>
      <c r="L806" s="140"/>
      <c r="M806" s="140"/>
    </row>
    <row r="807">
      <c r="D807" s="13"/>
      <c r="E807" s="182"/>
      <c r="G807" s="122"/>
      <c r="H807" s="182"/>
      <c r="I807" s="13"/>
      <c r="J807" s="13"/>
      <c r="L807" s="140"/>
      <c r="M807" s="140"/>
    </row>
    <row r="808">
      <c r="D808" s="13"/>
      <c r="E808" s="182"/>
      <c r="G808" s="122"/>
      <c r="H808" s="182"/>
      <c r="I808" s="13"/>
      <c r="J808" s="13"/>
      <c r="L808" s="140"/>
      <c r="M808" s="140"/>
    </row>
    <row r="809">
      <c r="D809" s="13"/>
      <c r="E809" s="182"/>
      <c r="G809" s="122"/>
      <c r="H809" s="182"/>
      <c r="I809" s="13"/>
      <c r="J809" s="13"/>
      <c r="L809" s="140"/>
      <c r="M809" s="140"/>
    </row>
    <row r="810">
      <c r="D810" s="13"/>
      <c r="E810" s="182"/>
      <c r="G810" s="122"/>
      <c r="H810" s="182"/>
      <c r="I810" s="13"/>
      <c r="J810" s="13"/>
      <c r="L810" s="140"/>
      <c r="M810" s="140"/>
    </row>
    <row r="811">
      <c r="D811" s="13"/>
      <c r="E811" s="182"/>
      <c r="G811" s="122"/>
      <c r="H811" s="182"/>
      <c r="I811" s="13"/>
      <c r="J811" s="13"/>
      <c r="L811" s="140"/>
      <c r="M811" s="140"/>
    </row>
    <row r="812">
      <c r="D812" s="13"/>
      <c r="E812" s="182"/>
      <c r="G812" s="122"/>
      <c r="H812" s="182"/>
      <c r="I812" s="13"/>
      <c r="J812" s="13"/>
      <c r="L812" s="140"/>
      <c r="M812" s="140"/>
    </row>
    <row r="813">
      <c r="D813" s="13"/>
      <c r="E813" s="182"/>
      <c r="G813" s="122"/>
      <c r="H813" s="182"/>
      <c r="I813" s="13"/>
      <c r="J813" s="13"/>
      <c r="L813" s="140"/>
      <c r="M813" s="140"/>
    </row>
    <row r="814">
      <c r="D814" s="13"/>
      <c r="E814" s="182"/>
      <c r="G814" s="122"/>
      <c r="H814" s="182"/>
      <c r="I814" s="13"/>
      <c r="J814" s="13"/>
      <c r="L814" s="140"/>
      <c r="M814" s="140"/>
    </row>
    <row r="815">
      <c r="D815" s="13"/>
      <c r="E815" s="182"/>
      <c r="G815" s="122"/>
      <c r="H815" s="182"/>
      <c r="I815" s="13"/>
      <c r="J815" s="13"/>
      <c r="L815" s="140"/>
      <c r="M815" s="140"/>
    </row>
    <row r="816">
      <c r="D816" s="13"/>
      <c r="E816" s="182"/>
      <c r="G816" s="122"/>
      <c r="H816" s="182"/>
      <c r="I816" s="13"/>
      <c r="J816" s="13"/>
      <c r="L816" s="140"/>
      <c r="M816" s="140"/>
    </row>
    <row r="817">
      <c r="D817" s="13"/>
      <c r="E817" s="182"/>
      <c r="G817" s="122"/>
      <c r="H817" s="182"/>
      <c r="I817" s="13"/>
      <c r="J817" s="13"/>
      <c r="L817" s="140"/>
      <c r="M817" s="140"/>
    </row>
    <row r="818">
      <c r="D818" s="13"/>
      <c r="E818" s="182"/>
      <c r="G818" s="122"/>
      <c r="H818" s="182"/>
      <c r="I818" s="13"/>
      <c r="J818" s="13"/>
      <c r="L818" s="140"/>
      <c r="M818" s="140"/>
    </row>
    <row r="819">
      <c r="D819" s="13"/>
      <c r="E819" s="182"/>
      <c r="G819" s="122"/>
      <c r="H819" s="182"/>
      <c r="I819" s="13"/>
      <c r="J819" s="13"/>
      <c r="L819" s="140"/>
      <c r="M819" s="140"/>
    </row>
    <row r="820">
      <c r="D820" s="13"/>
      <c r="E820" s="182"/>
      <c r="G820" s="122"/>
      <c r="H820" s="182"/>
      <c r="I820" s="13"/>
      <c r="J820" s="13"/>
      <c r="L820" s="140"/>
      <c r="M820" s="140"/>
    </row>
    <row r="821">
      <c r="D821" s="13"/>
      <c r="E821" s="182"/>
      <c r="G821" s="122"/>
      <c r="H821" s="182"/>
      <c r="I821" s="13"/>
      <c r="J821" s="13"/>
      <c r="L821" s="140"/>
      <c r="M821" s="140"/>
    </row>
    <row r="822">
      <c r="D822" s="13"/>
      <c r="E822" s="182"/>
      <c r="G822" s="122"/>
      <c r="H822" s="182"/>
      <c r="I822" s="13"/>
      <c r="J822" s="13"/>
      <c r="L822" s="140"/>
      <c r="M822" s="140"/>
    </row>
    <row r="823">
      <c r="D823" s="13"/>
      <c r="E823" s="182"/>
      <c r="G823" s="122"/>
      <c r="H823" s="182"/>
      <c r="I823" s="13"/>
      <c r="J823" s="13"/>
      <c r="L823" s="140"/>
      <c r="M823" s="140"/>
    </row>
    <row r="824">
      <c r="D824" s="13"/>
      <c r="E824" s="182"/>
      <c r="G824" s="122"/>
      <c r="H824" s="182"/>
      <c r="I824" s="13"/>
      <c r="J824" s="13"/>
      <c r="L824" s="140"/>
      <c r="M824" s="140"/>
    </row>
    <row r="825">
      <c r="D825" s="13"/>
      <c r="E825" s="182"/>
      <c r="G825" s="122"/>
      <c r="H825" s="182"/>
      <c r="I825" s="13"/>
      <c r="J825" s="13"/>
      <c r="L825" s="140"/>
      <c r="M825" s="140"/>
    </row>
    <row r="826">
      <c r="D826" s="13"/>
      <c r="E826" s="182"/>
      <c r="G826" s="122"/>
      <c r="H826" s="182"/>
      <c r="I826" s="13"/>
      <c r="J826" s="13"/>
      <c r="L826" s="140"/>
      <c r="M826" s="140"/>
    </row>
    <row r="827">
      <c r="D827" s="13"/>
      <c r="E827" s="182"/>
      <c r="G827" s="122"/>
      <c r="H827" s="182"/>
      <c r="I827" s="13"/>
      <c r="J827" s="13"/>
      <c r="L827" s="140"/>
      <c r="M827" s="140"/>
    </row>
    <row r="828">
      <c r="D828" s="13"/>
      <c r="E828" s="182"/>
      <c r="G828" s="122"/>
      <c r="H828" s="182"/>
      <c r="I828" s="13"/>
      <c r="J828" s="13"/>
      <c r="L828" s="140"/>
      <c r="M828" s="140"/>
    </row>
    <row r="829">
      <c r="D829" s="13"/>
      <c r="E829" s="182"/>
      <c r="G829" s="122"/>
      <c r="H829" s="182"/>
      <c r="I829" s="13"/>
      <c r="J829" s="13"/>
      <c r="L829" s="140"/>
      <c r="M829" s="140"/>
    </row>
    <row r="830">
      <c r="D830" s="13"/>
      <c r="E830" s="182"/>
      <c r="G830" s="122"/>
      <c r="H830" s="182"/>
      <c r="I830" s="13"/>
      <c r="J830" s="13"/>
      <c r="L830" s="140"/>
      <c r="M830" s="140"/>
    </row>
    <row r="831">
      <c r="D831" s="13"/>
      <c r="E831" s="182"/>
      <c r="G831" s="122"/>
      <c r="H831" s="182"/>
      <c r="I831" s="13"/>
      <c r="J831" s="13"/>
      <c r="L831" s="140"/>
      <c r="M831" s="140"/>
    </row>
    <row r="832">
      <c r="D832" s="13"/>
      <c r="E832" s="182"/>
      <c r="G832" s="122"/>
      <c r="H832" s="182"/>
      <c r="I832" s="13"/>
      <c r="J832" s="13"/>
      <c r="L832" s="140"/>
      <c r="M832" s="140"/>
    </row>
    <row r="833">
      <c r="D833" s="13"/>
      <c r="E833" s="182"/>
      <c r="G833" s="122"/>
      <c r="H833" s="182"/>
      <c r="I833" s="13"/>
      <c r="J833" s="13"/>
      <c r="L833" s="140"/>
      <c r="M833" s="140"/>
    </row>
    <row r="834">
      <c r="D834" s="13"/>
      <c r="E834" s="182"/>
      <c r="G834" s="122"/>
      <c r="H834" s="182"/>
      <c r="I834" s="13"/>
      <c r="J834" s="13"/>
      <c r="L834" s="140"/>
      <c r="M834" s="140"/>
    </row>
    <row r="835">
      <c r="D835" s="13"/>
      <c r="E835" s="182"/>
      <c r="G835" s="122"/>
      <c r="H835" s="182"/>
      <c r="I835" s="13"/>
      <c r="J835" s="13"/>
      <c r="L835" s="140"/>
      <c r="M835" s="140"/>
    </row>
    <row r="836">
      <c r="D836" s="13"/>
      <c r="E836" s="182"/>
      <c r="G836" s="122"/>
      <c r="H836" s="182"/>
      <c r="I836" s="13"/>
      <c r="J836" s="13"/>
      <c r="L836" s="140"/>
      <c r="M836" s="140"/>
    </row>
    <row r="837">
      <c r="D837" s="13"/>
      <c r="E837" s="182"/>
      <c r="G837" s="122"/>
      <c r="H837" s="182"/>
      <c r="I837" s="13"/>
      <c r="J837" s="13"/>
      <c r="L837" s="140"/>
      <c r="M837" s="140"/>
    </row>
    <row r="838">
      <c r="D838" s="13"/>
      <c r="E838" s="182"/>
      <c r="G838" s="122"/>
      <c r="H838" s="182"/>
      <c r="I838" s="13"/>
      <c r="J838" s="13"/>
      <c r="L838" s="140"/>
      <c r="M838" s="140"/>
    </row>
    <row r="839">
      <c r="D839" s="13"/>
      <c r="E839" s="182"/>
      <c r="G839" s="122"/>
      <c r="H839" s="182"/>
      <c r="I839" s="13"/>
      <c r="J839" s="13"/>
      <c r="L839" s="140"/>
      <c r="M839" s="140"/>
    </row>
    <row r="840">
      <c r="D840" s="13"/>
      <c r="E840" s="182"/>
      <c r="G840" s="122"/>
      <c r="H840" s="182"/>
      <c r="I840" s="13"/>
      <c r="J840" s="13"/>
      <c r="L840" s="140"/>
      <c r="M840" s="140"/>
    </row>
    <row r="841">
      <c r="D841" s="13"/>
      <c r="E841" s="182"/>
      <c r="G841" s="122"/>
      <c r="H841" s="182"/>
      <c r="I841" s="13"/>
      <c r="J841" s="13"/>
      <c r="L841" s="140"/>
      <c r="M841" s="140"/>
    </row>
    <row r="842">
      <c r="D842" s="13"/>
      <c r="E842" s="182"/>
      <c r="G842" s="122"/>
      <c r="H842" s="182"/>
      <c r="I842" s="13"/>
      <c r="J842" s="13"/>
      <c r="L842" s="140"/>
      <c r="M842" s="140"/>
    </row>
    <row r="843">
      <c r="D843" s="13"/>
      <c r="E843" s="182"/>
      <c r="G843" s="122"/>
      <c r="H843" s="182"/>
      <c r="I843" s="13"/>
      <c r="J843" s="13"/>
      <c r="L843" s="140"/>
      <c r="M843" s="140"/>
    </row>
    <row r="844">
      <c r="D844" s="13"/>
      <c r="E844" s="182"/>
      <c r="G844" s="122"/>
      <c r="H844" s="182"/>
      <c r="I844" s="13"/>
      <c r="J844" s="13"/>
      <c r="L844" s="140"/>
      <c r="M844" s="140"/>
    </row>
    <row r="845">
      <c r="D845" s="13"/>
      <c r="E845" s="182"/>
      <c r="G845" s="122"/>
      <c r="H845" s="182"/>
      <c r="I845" s="13"/>
      <c r="J845" s="13"/>
      <c r="L845" s="140"/>
      <c r="M845" s="140"/>
    </row>
    <row r="846">
      <c r="D846" s="13"/>
      <c r="E846" s="182"/>
      <c r="G846" s="122"/>
      <c r="H846" s="182"/>
      <c r="I846" s="13"/>
      <c r="J846" s="13"/>
      <c r="L846" s="140"/>
      <c r="M846" s="140"/>
    </row>
    <row r="847">
      <c r="D847" s="13"/>
      <c r="E847" s="182"/>
      <c r="G847" s="122"/>
      <c r="H847" s="182"/>
      <c r="I847" s="13"/>
      <c r="J847" s="13"/>
      <c r="L847" s="140"/>
      <c r="M847" s="140"/>
    </row>
    <row r="848">
      <c r="D848" s="13"/>
      <c r="E848" s="182"/>
      <c r="G848" s="122"/>
      <c r="H848" s="182"/>
      <c r="I848" s="13"/>
      <c r="J848" s="13"/>
      <c r="L848" s="140"/>
      <c r="M848" s="140"/>
    </row>
    <row r="849">
      <c r="D849" s="13"/>
      <c r="E849" s="182"/>
      <c r="G849" s="122"/>
      <c r="H849" s="182"/>
      <c r="I849" s="13"/>
      <c r="J849" s="13"/>
      <c r="L849" s="140"/>
      <c r="M849" s="140"/>
    </row>
    <row r="850">
      <c r="D850" s="13"/>
      <c r="E850" s="182"/>
      <c r="G850" s="122"/>
      <c r="H850" s="182"/>
      <c r="I850" s="13"/>
      <c r="J850" s="13"/>
      <c r="L850" s="140"/>
      <c r="M850" s="140"/>
    </row>
    <row r="851">
      <c r="D851" s="13"/>
      <c r="E851" s="182"/>
      <c r="G851" s="122"/>
      <c r="H851" s="182"/>
      <c r="I851" s="13"/>
      <c r="J851" s="13"/>
      <c r="L851" s="140"/>
      <c r="M851" s="140"/>
    </row>
    <row r="852">
      <c r="D852" s="13"/>
      <c r="E852" s="182"/>
      <c r="G852" s="122"/>
      <c r="H852" s="182"/>
      <c r="I852" s="13"/>
      <c r="J852" s="13"/>
      <c r="L852" s="140"/>
      <c r="M852" s="140"/>
    </row>
    <row r="853">
      <c r="D853" s="13"/>
      <c r="E853" s="182"/>
      <c r="G853" s="122"/>
      <c r="H853" s="182"/>
      <c r="I853" s="13"/>
      <c r="J853" s="13"/>
      <c r="L853" s="140"/>
      <c r="M853" s="140"/>
    </row>
    <row r="854">
      <c r="D854" s="13"/>
      <c r="E854" s="182"/>
      <c r="G854" s="122"/>
      <c r="H854" s="182"/>
      <c r="I854" s="13"/>
      <c r="J854" s="13"/>
      <c r="L854" s="140"/>
      <c r="M854" s="140"/>
    </row>
    <row r="855">
      <c r="D855" s="13"/>
      <c r="E855" s="182"/>
      <c r="G855" s="122"/>
      <c r="H855" s="182"/>
      <c r="I855" s="13"/>
      <c r="J855" s="13"/>
      <c r="L855" s="140"/>
      <c r="M855" s="140"/>
    </row>
    <row r="856">
      <c r="D856" s="13"/>
      <c r="E856" s="182"/>
      <c r="G856" s="122"/>
      <c r="H856" s="182"/>
      <c r="I856" s="13"/>
      <c r="J856" s="13"/>
      <c r="L856" s="140"/>
      <c r="M856" s="140"/>
    </row>
    <row r="857">
      <c r="D857" s="13"/>
      <c r="E857" s="182"/>
      <c r="G857" s="122"/>
      <c r="H857" s="182"/>
      <c r="I857" s="13"/>
      <c r="J857" s="13"/>
      <c r="L857" s="140"/>
      <c r="M857" s="140"/>
    </row>
    <row r="858">
      <c r="D858" s="13"/>
      <c r="E858" s="182"/>
      <c r="G858" s="122"/>
      <c r="H858" s="182"/>
      <c r="I858" s="13"/>
      <c r="J858" s="13"/>
      <c r="L858" s="140"/>
      <c r="M858" s="140"/>
    </row>
    <row r="859">
      <c r="D859" s="13"/>
      <c r="E859" s="182"/>
      <c r="G859" s="122"/>
      <c r="H859" s="182"/>
      <c r="I859" s="13"/>
      <c r="J859" s="13"/>
      <c r="L859" s="140"/>
      <c r="M859" s="140"/>
    </row>
    <row r="860">
      <c r="D860" s="13"/>
      <c r="E860" s="182"/>
      <c r="G860" s="122"/>
      <c r="H860" s="182"/>
      <c r="I860" s="13"/>
      <c r="J860" s="13"/>
      <c r="L860" s="140"/>
      <c r="M860" s="140"/>
    </row>
    <row r="861">
      <c r="D861" s="13"/>
      <c r="E861" s="182"/>
      <c r="G861" s="122"/>
      <c r="H861" s="182"/>
      <c r="I861" s="13"/>
      <c r="J861" s="13"/>
      <c r="L861" s="140"/>
      <c r="M861" s="140"/>
    </row>
    <row r="862">
      <c r="D862" s="13"/>
      <c r="E862" s="182"/>
      <c r="G862" s="122"/>
      <c r="H862" s="182"/>
      <c r="I862" s="13"/>
      <c r="J862" s="13"/>
      <c r="L862" s="140"/>
      <c r="M862" s="140"/>
    </row>
    <row r="863">
      <c r="D863" s="13"/>
      <c r="E863" s="182"/>
      <c r="G863" s="122"/>
      <c r="H863" s="182"/>
      <c r="I863" s="13"/>
      <c r="J863" s="13"/>
      <c r="L863" s="140"/>
      <c r="M863" s="140"/>
    </row>
    <row r="864">
      <c r="D864" s="13"/>
      <c r="E864" s="182"/>
      <c r="G864" s="122"/>
      <c r="H864" s="182"/>
      <c r="I864" s="13"/>
      <c r="J864" s="13"/>
      <c r="L864" s="140"/>
      <c r="M864" s="140"/>
    </row>
    <row r="865">
      <c r="D865" s="13"/>
      <c r="E865" s="182"/>
      <c r="G865" s="122"/>
      <c r="H865" s="182"/>
      <c r="I865" s="13"/>
      <c r="J865" s="13"/>
      <c r="L865" s="140"/>
      <c r="M865" s="140"/>
    </row>
    <row r="866">
      <c r="D866" s="13"/>
      <c r="E866" s="182"/>
      <c r="G866" s="122"/>
      <c r="H866" s="182"/>
      <c r="I866" s="13"/>
      <c r="J866" s="13"/>
      <c r="L866" s="140"/>
      <c r="M866" s="140"/>
    </row>
    <row r="867">
      <c r="D867" s="13"/>
      <c r="E867" s="182"/>
      <c r="G867" s="122"/>
      <c r="H867" s="182"/>
      <c r="I867" s="13"/>
      <c r="J867" s="13"/>
      <c r="L867" s="140"/>
      <c r="M867" s="140"/>
    </row>
    <row r="868">
      <c r="D868" s="13"/>
      <c r="E868" s="182"/>
      <c r="G868" s="122"/>
      <c r="H868" s="182"/>
      <c r="I868" s="13"/>
      <c r="J868" s="13"/>
      <c r="L868" s="140"/>
      <c r="M868" s="140"/>
    </row>
    <row r="869">
      <c r="D869" s="13"/>
      <c r="E869" s="182"/>
      <c r="G869" s="122"/>
      <c r="H869" s="182"/>
      <c r="I869" s="13"/>
      <c r="J869" s="13"/>
      <c r="L869" s="140"/>
      <c r="M869" s="140"/>
    </row>
    <row r="870">
      <c r="D870" s="13"/>
      <c r="E870" s="182"/>
      <c r="G870" s="122"/>
      <c r="H870" s="182"/>
      <c r="I870" s="13"/>
      <c r="J870" s="13"/>
      <c r="L870" s="140"/>
      <c r="M870" s="140"/>
    </row>
    <row r="871">
      <c r="D871" s="13"/>
      <c r="E871" s="182"/>
      <c r="G871" s="122"/>
      <c r="H871" s="182"/>
      <c r="I871" s="13"/>
      <c r="J871" s="13"/>
      <c r="L871" s="140"/>
      <c r="M871" s="140"/>
    </row>
    <row r="872">
      <c r="D872" s="13"/>
      <c r="E872" s="182"/>
      <c r="G872" s="122"/>
      <c r="H872" s="182"/>
      <c r="I872" s="13"/>
      <c r="J872" s="13"/>
      <c r="L872" s="140"/>
      <c r="M872" s="140"/>
    </row>
    <row r="873">
      <c r="D873" s="13"/>
      <c r="E873" s="182"/>
      <c r="G873" s="122"/>
      <c r="H873" s="182"/>
      <c r="I873" s="13"/>
      <c r="J873" s="13"/>
      <c r="L873" s="140"/>
      <c r="M873" s="140"/>
    </row>
    <row r="874">
      <c r="D874" s="13"/>
      <c r="E874" s="182"/>
      <c r="G874" s="122"/>
      <c r="H874" s="182"/>
      <c r="I874" s="13"/>
      <c r="J874" s="13"/>
      <c r="L874" s="140"/>
      <c r="M874" s="140"/>
    </row>
    <row r="875">
      <c r="D875" s="13"/>
      <c r="E875" s="182"/>
      <c r="G875" s="122"/>
      <c r="H875" s="182"/>
      <c r="I875" s="13"/>
      <c r="J875" s="13"/>
      <c r="L875" s="140"/>
      <c r="M875" s="140"/>
    </row>
    <row r="876">
      <c r="D876" s="13"/>
      <c r="E876" s="182"/>
      <c r="G876" s="122"/>
      <c r="H876" s="182"/>
      <c r="I876" s="13"/>
      <c r="J876" s="13"/>
      <c r="L876" s="140"/>
      <c r="M876" s="140"/>
    </row>
    <row r="877">
      <c r="D877" s="13"/>
      <c r="E877" s="182"/>
      <c r="G877" s="122"/>
      <c r="H877" s="182"/>
      <c r="I877" s="13"/>
      <c r="J877" s="13"/>
      <c r="L877" s="140"/>
      <c r="M877" s="140"/>
    </row>
    <row r="878">
      <c r="D878" s="13"/>
      <c r="E878" s="182"/>
      <c r="G878" s="122"/>
      <c r="H878" s="182"/>
      <c r="I878" s="13"/>
      <c r="J878" s="13"/>
      <c r="L878" s="140"/>
      <c r="M878" s="140"/>
    </row>
    <row r="879">
      <c r="D879" s="13"/>
      <c r="E879" s="182"/>
      <c r="G879" s="122"/>
      <c r="H879" s="182"/>
      <c r="I879" s="13"/>
      <c r="J879" s="13"/>
      <c r="L879" s="140"/>
      <c r="M879" s="140"/>
    </row>
    <row r="880">
      <c r="D880" s="13"/>
      <c r="E880" s="182"/>
      <c r="G880" s="122"/>
      <c r="H880" s="182"/>
      <c r="I880" s="13"/>
      <c r="J880" s="13"/>
      <c r="L880" s="140"/>
      <c r="M880" s="140"/>
    </row>
    <row r="881">
      <c r="D881" s="13"/>
      <c r="E881" s="182"/>
      <c r="G881" s="122"/>
      <c r="H881" s="182"/>
      <c r="I881" s="13"/>
      <c r="J881" s="13"/>
      <c r="L881" s="140"/>
      <c r="M881" s="140"/>
    </row>
    <row r="882">
      <c r="D882" s="13"/>
      <c r="E882" s="182"/>
      <c r="G882" s="122"/>
      <c r="H882" s="182"/>
      <c r="I882" s="13"/>
      <c r="J882" s="13"/>
      <c r="L882" s="140"/>
      <c r="M882" s="140"/>
    </row>
    <row r="883">
      <c r="D883" s="13"/>
      <c r="E883" s="182"/>
      <c r="G883" s="122"/>
      <c r="H883" s="182"/>
      <c r="I883" s="13"/>
      <c r="J883" s="13"/>
      <c r="L883" s="140"/>
      <c r="M883" s="140"/>
    </row>
    <row r="884">
      <c r="D884" s="13"/>
      <c r="E884" s="182"/>
      <c r="G884" s="122"/>
      <c r="H884" s="182"/>
      <c r="I884" s="13"/>
      <c r="J884" s="13"/>
      <c r="L884" s="140"/>
      <c r="M884" s="140"/>
    </row>
    <row r="885">
      <c r="D885" s="13"/>
      <c r="E885" s="182"/>
      <c r="G885" s="122"/>
      <c r="H885" s="182"/>
      <c r="I885" s="13"/>
      <c r="J885" s="13"/>
      <c r="L885" s="140"/>
      <c r="M885" s="140"/>
    </row>
    <row r="886">
      <c r="D886" s="13"/>
      <c r="E886" s="182"/>
      <c r="G886" s="122"/>
      <c r="H886" s="182"/>
      <c r="I886" s="13"/>
      <c r="J886" s="13"/>
      <c r="L886" s="140"/>
      <c r="M886" s="140"/>
    </row>
    <row r="887">
      <c r="D887" s="13"/>
      <c r="E887" s="182"/>
      <c r="G887" s="122"/>
      <c r="H887" s="182"/>
      <c r="I887" s="13"/>
      <c r="J887" s="13"/>
      <c r="L887" s="140"/>
      <c r="M887" s="140"/>
    </row>
    <row r="888">
      <c r="D888" s="13"/>
      <c r="E888" s="182"/>
      <c r="G888" s="122"/>
      <c r="H888" s="182"/>
      <c r="I888" s="13"/>
      <c r="J888" s="13"/>
      <c r="L888" s="140"/>
      <c r="M888" s="140"/>
    </row>
    <row r="889">
      <c r="D889" s="13"/>
      <c r="E889" s="182"/>
      <c r="G889" s="122"/>
      <c r="H889" s="182"/>
      <c r="I889" s="13"/>
      <c r="J889" s="13"/>
      <c r="L889" s="140"/>
      <c r="M889" s="140"/>
    </row>
    <row r="890">
      <c r="D890" s="13"/>
      <c r="E890" s="182"/>
      <c r="G890" s="122"/>
      <c r="H890" s="182"/>
      <c r="I890" s="13"/>
      <c r="J890" s="13"/>
      <c r="L890" s="140"/>
      <c r="M890" s="140"/>
    </row>
    <row r="891">
      <c r="D891" s="13"/>
      <c r="E891" s="182"/>
      <c r="G891" s="122"/>
      <c r="H891" s="182"/>
      <c r="I891" s="13"/>
      <c r="J891" s="13"/>
      <c r="L891" s="140"/>
      <c r="M891" s="140"/>
    </row>
    <row r="892">
      <c r="D892" s="13"/>
      <c r="E892" s="182"/>
      <c r="G892" s="122"/>
      <c r="H892" s="182"/>
      <c r="I892" s="13"/>
      <c r="J892" s="13"/>
      <c r="L892" s="140"/>
      <c r="M892" s="140"/>
    </row>
    <row r="893">
      <c r="D893" s="13"/>
      <c r="E893" s="182"/>
      <c r="G893" s="122"/>
      <c r="H893" s="182"/>
      <c r="I893" s="13"/>
      <c r="J893" s="13"/>
      <c r="L893" s="140"/>
      <c r="M893" s="140"/>
    </row>
    <row r="894">
      <c r="D894" s="13"/>
      <c r="E894" s="182"/>
      <c r="G894" s="122"/>
      <c r="H894" s="182"/>
      <c r="I894" s="13"/>
      <c r="J894" s="13"/>
      <c r="L894" s="140"/>
      <c r="M894" s="140"/>
    </row>
    <row r="895">
      <c r="D895" s="13"/>
      <c r="E895" s="182"/>
      <c r="G895" s="122"/>
      <c r="H895" s="182"/>
      <c r="I895" s="13"/>
      <c r="J895" s="13"/>
      <c r="L895" s="140"/>
      <c r="M895" s="140"/>
    </row>
    <row r="896">
      <c r="D896" s="13"/>
      <c r="E896" s="182"/>
      <c r="G896" s="122"/>
      <c r="H896" s="182"/>
      <c r="I896" s="13"/>
      <c r="J896" s="13"/>
      <c r="L896" s="140"/>
      <c r="M896" s="140"/>
    </row>
    <row r="897">
      <c r="D897" s="13"/>
      <c r="E897" s="182"/>
      <c r="G897" s="122"/>
      <c r="H897" s="182"/>
      <c r="I897" s="13"/>
      <c r="J897" s="13"/>
      <c r="L897" s="140"/>
      <c r="M897" s="140"/>
    </row>
    <row r="898">
      <c r="D898" s="13"/>
      <c r="E898" s="182"/>
      <c r="G898" s="122"/>
      <c r="H898" s="182"/>
      <c r="I898" s="13"/>
      <c r="J898" s="13"/>
      <c r="L898" s="140"/>
      <c r="M898" s="140"/>
    </row>
    <row r="899">
      <c r="D899" s="13"/>
      <c r="E899" s="182"/>
      <c r="G899" s="122"/>
      <c r="H899" s="182"/>
      <c r="I899" s="13"/>
      <c r="J899" s="13"/>
      <c r="L899" s="140"/>
      <c r="M899" s="140"/>
    </row>
    <row r="900">
      <c r="D900" s="13"/>
      <c r="E900" s="182"/>
      <c r="G900" s="122"/>
      <c r="H900" s="182"/>
      <c r="I900" s="13"/>
      <c r="J900" s="13"/>
      <c r="L900" s="140"/>
      <c r="M900" s="140"/>
    </row>
    <row r="901">
      <c r="D901" s="13"/>
      <c r="E901" s="182"/>
      <c r="G901" s="122"/>
      <c r="H901" s="182"/>
      <c r="I901" s="13"/>
      <c r="J901" s="13"/>
      <c r="L901" s="140"/>
      <c r="M901" s="140"/>
    </row>
    <row r="902">
      <c r="D902" s="13"/>
      <c r="E902" s="182"/>
      <c r="G902" s="122"/>
      <c r="H902" s="182"/>
      <c r="I902" s="13"/>
      <c r="J902" s="13"/>
      <c r="L902" s="140"/>
      <c r="M902" s="140"/>
    </row>
    <row r="903">
      <c r="D903" s="13"/>
      <c r="E903" s="182"/>
      <c r="G903" s="122"/>
      <c r="H903" s="182"/>
      <c r="I903" s="13"/>
      <c r="J903" s="13"/>
      <c r="L903" s="140"/>
      <c r="M903" s="140"/>
    </row>
    <row r="904">
      <c r="D904" s="13"/>
      <c r="E904" s="182"/>
      <c r="G904" s="122"/>
      <c r="H904" s="182"/>
      <c r="I904" s="13"/>
      <c r="J904" s="13"/>
      <c r="L904" s="140"/>
      <c r="M904" s="140"/>
    </row>
    <row r="905">
      <c r="D905" s="13"/>
      <c r="E905" s="182"/>
      <c r="G905" s="122"/>
      <c r="H905" s="182"/>
      <c r="I905" s="13"/>
      <c r="J905" s="13"/>
      <c r="L905" s="140"/>
      <c r="M905" s="140"/>
    </row>
    <row r="906">
      <c r="D906" s="13"/>
      <c r="E906" s="182"/>
      <c r="G906" s="122"/>
      <c r="H906" s="182"/>
      <c r="I906" s="13"/>
      <c r="J906" s="13"/>
      <c r="L906" s="140"/>
      <c r="M906" s="140"/>
    </row>
    <row r="907">
      <c r="D907" s="13"/>
      <c r="E907" s="182"/>
      <c r="G907" s="122"/>
      <c r="H907" s="182"/>
      <c r="I907" s="13"/>
      <c r="J907" s="13"/>
      <c r="L907" s="140"/>
      <c r="M907" s="140"/>
    </row>
    <row r="908">
      <c r="D908" s="13"/>
      <c r="E908" s="182"/>
      <c r="G908" s="122"/>
      <c r="H908" s="182"/>
      <c r="I908" s="13"/>
      <c r="J908" s="13"/>
      <c r="L908" s="140"/>
      <c r="M908" s="140"/>
    </row>
    <row r="909">
      <c r="D909" s="13"/>
      <c r="E909" s="182"/>
      <c r="G909" s="122"/>
      <c r="H909" s="182"/>
      <c r="I909" s="13"/>
      <c r="J909" s="13"/>
      <c r="L909" s="140"/>
      <c r="M909" s="140"/>
    </row>
    <row r="910">
      <c r="D910" s="13"/>
      <c r="E910" s="182"/>
      <c r="G910" s="122"/>
      <c r="H910" s="182"/>
      <c r="I910" s="13"/>
      <c r="J910" s="13"/>
      <c r="L910" s="140"/>
      <c r="M910" s="140"/>
    </row>
    <row r="911">
      <c r="D911" s="13"/>
      <c r="E911" s="182"/>
      <c r="G911" s="122"/>
      <c r="H911" s="182"/>
      <c r="I911" s="13"/>
      <c r="J911" s="13"/>
      <c r="L911" s="140"/>
      <c r="M911" s="140"/>
    </row>
    <row r="912">
      <c r="D912" s="13"/>
      <c r="E912" s="182"/>
      <c r="G912" s="122"/>
      <c r="H912" s="182"/>
      <c r="I912" s="13"/>
      <c r="J912" s="13"/>
      <c r="L912" s="140"/>
      <c r="M912" s="140"/>
    </row>
    <row r="913">
      <c r="D913" s="13"/>
      <c r="E913" s="182"/>
      <c r="G913" s="122"/>
      <c r="H913" s="182"/>
      <c r="I913" s="13"/>
      <c r="J913" s="13"/>
      <c r="L913" s="140"/>
      <c r="M913" s="140"/>
    </row>
    <row r="914">
      <c r="D914" s="13"/>
      <c r="E914" s="182"/>
      <c r="G914" s="122"/>
      <c r="H914" s="182"/>
      <c r="I914" s="13"/>
      <c r="J914" s="13"/>
      <c r="L914" s="140"/>
      <c r="M914" s="140"/>
    </row>
    <row r="915">
      <c r="D915" s="13"/>
      <c r="E915" s="182"/>
      <c r="G915" s="122"/>
      <c r="H915" s="182"/>
      <c r="I915" s="13"/>
      <c r="J915" s="13"/>
      <c r="L915" s="140"/>
      <c r="M915" s="140"/>
    </row>
    <row r="916">
      <c r="D916" s="13"/>
      <c r="E916" s="182"/>
      <c r="G916" s="122"/>
      <c r="H916" s="182"/>
      <c r="I916" s="13"/>
      <c r="J916" s="13"/>
      <c r="L916" s="140"/>
      <c r="M916" s="140"/>
    </row>
    <row r="917">
      <c r="D917" s="13"/>
      <c r="E917" s="182"/>
      <c r="G917" s="122"/>
      <c r="H917" s="182"/>
      <c r="I917" s="13"/>
      <c r="J917" s="13"/>
      <c r="L917" s="140"/>
      <c r="M917" s="140"/>
    </row>
    <row r="918">
      <c r="D918" s="13"/>
      <c r="E918" s="182"/>
      <c r="G918" s="122"/>
      <c r="H918" s="182"/>
      <c r="I918" s="13"/>
      <c r="J918" s="13"/>
      <c r="L918" s="140"/>
      <c r="M918" s="140"/>
    </row>
    <row r="919">
      <c r="D919" s="13"/>
      <c r="E919" s="182"/>
      <c r="G919" s="122"/>
      <c r="H919" s="182"/>
      <c r="I919" s="13"/>
      <c r="J919" s="13"/>
      <c r="L919" s="140"/>
      <c r="M919" s="140"/>
    </row>
    <row r="920">
      <c r="D920" s="13"/>
      <c r="E920" s="182"/>
      <c r="G920" s="122"/>
      <c r="H920" s="182"/>
      <c r="I920" s="13"/>
      <c r="J920" s="13"/>
      <c r="L920" s="140"/>
      <c r="M920" s="140"/>
    </row>
    <row r="921">
      <c r="D921" s="13"/>
      <c r="E921" s="182"/>
      <c r="G921" s="122"/>
      <c r="H921" s="182"/>
      <c r="I921" s="13"/>
      <c r="J921" s="13"/>
      <c r="L921" s="140"/>
      <c r="M921" s="140"/>
    </row>
    <row r="922">
      <c r="D922" s="13"/>
      <c r="E922" s="182"/>
      <c r="G922" s="122"/>
      <c r="H922" s="182"/>
      <c r="I922" s="13"/>
      <c r="J922" s="13"/>
      <c r="L922" s="140"/>
      <c r="M922" s="140"/>
    </row>
    <row r="923">
      <c r="D923" s="13"/>
      <c r="E923" s="182"/>
      <c r="G923" s="122"/>
      <c r="H923" s="182"/>
      <c r="I923" s="13"/>
      <c r="J923" s="13"/>
      <c r="L923" s="140"/>
      <c r="M923" s="140"/>
    </row>
    <row r="924">
      <c r="D924" s="13"/>
      <c r="E924" s="182"/>
      <c r="G924" s="122"/>
      <c r="H924" s="182"/>
      <c r="I924" s="13"/>
      <c r="J924" s="13"/>
      <c r="L924" s="140"/>
      <c r="M924" s="140"/>
    </row>
    <row r="925">
      <c r="D925" s="13"/>
      <c r="E925" s="182"/>
      <c r="G925" s="122"/>
      <c r="H925" s="182"/>
      <c r="I925" s="13"/>
      <c r="J925" s="13"/>
      <c r="L925" s="140"/>
      <c r="M925" s="140"/>
    </row>
    <row r="926">
      <c r="D926" s="13"/>
      <c r="E926" s="182"/>
      <c r="G926" s="122"/>
      <c r="H926" s="182"/>
      <c r="I926" s="13"/>
      <c r="J926" s="13"/>
      <c r="L926" s="140"/>
      <c r="M926" s="140"/>
    </row>
    <row r="927">
      <c r="D927" s="13"/>
      <c r="E927" s="182"/>
      <c r="G927" s="122"/>
      <c r="H927" s="182"/>
      <c r="I927" s="13"/>
      <c r="J927" s="13"/>
      <c r="L927" s="140"/>
      <c r="M927" s="140"/>
    </row>
    <row r="928">
      <c r="D928" s="13"/>
      <c r="E928" s="182"/>
      <c r="G928" s="122"/>
      <c r="H928" s="182"/>
      <c r="I928" s="13"/>
      <c r="J928" s="13"/>
      <c r="L928" s="140"/>
      <c r="M928" s="140"/>
    </row>
    <row r="929">
      <c r="D929" s="13"/>
      <c r="E929" s="182"/>
      <c r="G929" s="122"/>
      <c r="H929" s="182"/>
      <c r="I929" s="13"/>
      <c r="J929" s="13"/>
      <c r="L929" s="140"/>
      <c r="M929" s="140"/>
    </row>
    <row r="930">
      <c r="D930" s="13"/>
      <c r="E930" s="182"/>
      <c r="G930" s="122"/>
      <c r="H930" s="182"/>
      <c r="I930" s="13"/>
      <c r="J930" s="13"/>
      <c r="L930" s="140"/>
      <c r="M930" s="140"/>
    </row>
    <row r="931">
      <c r="D931" s="13"/>
      <c r="E931" s="182"/>
      <c r="G931" s="122"/>
      <c r="H931" s="182"/>
      <c r="I931" s="13"/>
      <c r="J931" s="13"/>
      <c r="L931" s="140"/>
      <c r="M931" s="140"/>
    </row>
    <row r="932">
      <c r="D932" s="13"/>
      <c r="E932" s="182"/>
      <c r="G932" s="122"/>
      <c r="H932" s="182"/>
      <c r="I932" s="13"/>
      <c r="J932" s="13"/>
      <c r="L932" s="140"/>
      <c r="M932" s="140"/>
    </row>
    <row r="933">
      <c r="D933" s="13"/>
      <c r="E933" s="182"/>
      <c r="G933" s="122"/>
      <c r="H933" s="182"/>
      <c r="I933" s="13"/>
      <c r="J933" s="13"/>
      <c r="L933" s="140"/>
      <c r="M933" s="140"/>
    </row>
    <row r="934">
      <c r="D934" s="13"/>
      <c r="E934" s="182"/>
      <c r="G934" s="122"/>
      <c r="H934" s="182"/>
      <c r="I934" s="13"/>
      <c r="J934" s="13"/>
      <c r="L934" s="140"/>
      <c r="M934" s="140"/>
    </row>
    <row r="935">
      <c r="D935" s="13"/>
      <c r="E935" s="182"/>
      <c r="G935" s="122"/>
      <c r="H935" s="182"/>
      <c r="I935" s="13"/>
      <c r="J935" s="13"/>
      <c r="L935" s="140"/>
      <c r="M935" s="140"/>
    </row>
    <row r="936">
      <c r="D936" s="13"/>
      <c r="E936" s="182"/>
      <c r="G936" s="122"/>
      <c r="H936" s="182"/>
      <c r="I936" s="13"/>
      <c r="J936" s="13"/>
      <c r="L936" s="140"/>
      <c r="M936" s="140"/>
    </row>
    <row r="937">
      <c r="D937" s="13"/>
      <c r="E937" s="182"/>
      <c r="G937" s="122"/>
      <c r="H937" s="182"/>
      <c r="I937" s="13"/>
      <c r="J937" s="13"/>
      <c r="L937" s="140"/>
      <c r="M937" s="140"/>
    </row>
    <row r="938">
      <c r="D938" s="13"/>
      <c r="E938" s="182"/>
      <c r="G938" s="122"/>
      <c r="H938" s="182"/>
      <c r="I938" s="13"/>
      <c r="J938" s="13"/>
      <c r="L938" s="140"/>
      <c r="M938" s="140"/>
    </row>
    <row r="939">
      <c r="D939" s="13"/>
      <c r="E939" s="182"/>
      <c r="G939" s="122"/>
      <c r="H939" s="182"/>
      <c r="I939" s="13"/>
      <c r="J939" s="13"/>
      <c r="L939" s="140"/>
      <c r="M939" s="140"/>
    </row>
    <row r="940">
      <c r="D940" s="13"/>
      <c r="E940" s="182"/>
      <c r="G940" s="122"/>
      <c r="H940" s="182"/>
      <c r="I940" s="13"/>
      <c r="J940" s="13"/>
      <c r="L940" s="140"/>
      <c r="M940" s="140"/>
    </row>
    <row r="941">
      <c r="D941" s="13"/>
      <c r="E941" s="182"/>
      <c r="G941" s="122"/>
      <c r="H941" s="182"/>
      <c r="I941" s="13"/>
      <c r="J941" s="13"/>
      <c r="L941" s="140"/>
      <c r="M941" s="140"/>
    </row>
    <row r="942">
      <c r="D942" s="13"/>
      <c r="E942" s="182"/>
      <c r="G942" s="122"/>
      <c r="H942" s="182"/>
      <c r="I942" s="13"/>
      <c r="J942" s="13"/>
      <c r="L942" s="140"/>
      <c r="M942" s="140"/>
    </row>
    <row r="943">
      <c r="D943" s="13"/>
      <c r="E943" s="182"/>
      <c r="G943" s="122"/>
      <c r="H943" s="182"/>
      <c r="I943" s="13"/>
      <c r="J943" s="13"/>
      <c r="L943" s="140"/>
      <c r="M943" s="140"/>
    </row>
    <row r="944">
      <c r="D944" s="13"/>
      <c r="E944" s="182"/>
      <c r="G944" s="122"/>
      <c r="H944" s="182"/>
      <c r="I944" s="13"/>
      <c r="J944" s="13"/>
      <c r="L944" s="140"/>
      <c r="M944" s="140"/>
    </row>
    <row r="945">
      <c r="D945" s="13"/>
      <c r="E945" s="182"/>
      <c r="G945" s="122"/>
      <c r="H945" s="182"/>
      <c r="I945" s="13"/>
      <c r="J945" s="13"/>
      <c r="L945" s="140"/>
      <c r="M945" s="140"/>
    </row>
    <row r="946">
      <c r="D946" s="13"/>
      <c r="E946" s="182"/>
      <c r="G946" s="122"/>
      <c r="H946" s="182"/>
      <c r="I946" s="13"/>
      <c r="J946" s="13"/>
      <c r="L946" s="140"/>
      <c r="M946" s="140"/>
    </row>
    <row r="947">
      <c r="D947" s="13"/>
      <c r="E947" s="182"/>
      <c r="G947" s="122"/>
      <c r="H947" s="182"/>
      <c r="I947" s="13"/>
      <c r="J947" s="13"/>
      <c r="L947" s="140"/>
      <c r="M947" s="140"/>
    </row>
    <row r="948">
      <c r="D948" s="13"/>
      <c r="E948" s="182"/>
      <c r="G948" s="122"/>
      <c r="H948" s="182"/>
      <c r="I948" s="13"/>
      <c r="J948" s="13"/>
      <c r="L948" s="140"/>
      <c r="M948" s="140"/>
    </row>
    <row r="949">
      <c r="D949" s="13"/>
      <c r="E949" s="182"/>
      <c r="G949" s="122"/>
      <c r="H949" s="182"/>
      <c r="I949" s="13"/>
      <c r="J949" s="13"/>
      <c r="L949" s="140"/>
      <c r="M949" s="140"/>
    </row>
    <row r="950">
      <c r="D950" s="13"/>
      <c r="E950" s="182"/>
      <c r="G950" s="122"/>
      <c r="H950" s="182"/>
      <c r="I950" s="13"/>
      <c r="J950" s="13"/>
      <c r="L950" s="140"/>
      <c r="M950" s="140"/>
    </row>
    <row r="951">
      <c r="D951" s="13"/>
      <c r="E951" s="182"/>
      <c r="G951" s="122"/>
      <c r="H951" s="182"/>
      <c r="I951" s="13"/>
      <c r="J951" s="13"/>
      <c r="L951" s="140"/>
      <c r="M951" s="140"/>
    </row>
    <row r="952">
      <c r="D952" s="13"/>
      <c r="E952" s="182"/>
      <c r="G952" s="122"/>
      <c r="H952" s="182"/>
      <c r="I952" s="13"/>
      <c r="J952" s="13"/>
      <c r="L952" s="140"/>
      <c r="M952" s="140"/>
    </row>
    <row r="953">
      <c r="D953" s="13"/>
      <c r="E953" s="182"/>
      <c r="G953" s="122"/>
      <c r="H953" s="182"/>
      <c r="I953" s="13"/>
      <c r="J953" s="13"/>
      <c r="L953" s="140"/>
      <c r="M953" s="140"/>
    </row>
    <row r="954">
      <c r="D954" s="13"/>
      <c r="E954" s="182"/>
      <c r="G954" s="122"/>
      <c r="H954" s="182"/>
      <c r="I954" s="13"/>
      <c r="J954" s="13"/>
      <c r="L954" s="140"/>
      <c r="M954" s="140"/>
    </row>
    <row r="955">
      <c r="D955" s="13"/>
      <c r="E955" s="182"/>
      <c r="G955" s="122"/>
      <c r="H955" s="182"/>
      <c r="I955" s="13"/>
      <c r="J955" s="13"/>
      <c r="L955" s="140"/>
      <c r="M955" s="140"/>
    </row>
    <row r="956">
      <c r="D956" s="13"/>
      <c r="E956" s="182"/>
      <c r="G956" s="122"/>
      <c r="H956" s="182"/>
      <c r="I956" s="13"/>
      <c r="J956" s="13"/>
      <c r="L956" s="140"/>
      <c r="M956" s="140"/>
    </row>
    <row r="957">
      <c r="D957" s="13"/>
      <c r="E957" s="182"/>
      <c r="G957" s="122"/>
      <c r="H957" s="182"/>
      <c r="I957" s="13"/>
      <c r="J957" s="13"/>
      <c r="L957" s="140"/>
      <c r="M957" s="140"/>
    </row>
    <row r="958">
      <c r="D958" s="13"/>
      <c r="E958" s="182"/>
      <c r="G958" s="122"/>
      <c r="H958" s="182"/>
      <c r="I958" s="13"/>
      <c r="J958" s="13"/>
      <c r="L958" s="140"/>
      <c r="M958" s="140"/>
    </row>
    <row r="959">
      <c r="D959" s="13"/>
      <c r="E959" s="182"/>
      <c r="G959" s="122"/>
      <c r="H959" s="182"/>
      <c r="I959" s="13"/>
      <c r="J959" s="13"/>
      <c r="L959" s="140"/>
      <c r="M959" s="140"/>
    </row>
    <row r="960">
      <c r="D960" s="13"/>
      <c r="E960" s="182"/>
      <c r="G960" s="122"/>
      <c r="H960" s="182"/>
      <c r="I960" s="13"/>
      <c r="J960" s="13"/>
      <c r="L960" s="140"/>
      <c r="M960" s="140"/>
    </row>
    <row r="961">
      <c r="D961" s="13"/>
      <c r="E961" s="182"/>
      <c r="G961" s="122"/>
      <c r="H961" s="182"/>
      <c r="I961" s="13"/>
      <c r="J961" s="13"/>
      <c r="L961" s="140"/>
      <c r="M961" s="140"/>
    </row>
    <row r="962">
      <c r="D962" s="13"/>
      <c r="E962" s="182"/>
      <c r="G962" s="122"/>
      <c r="H962" s="182"/>
      <c r="I962" s="13"/>
      <c r="J962" s="13"/>
      <c r="L962" s="140"/>
      <c r="M962" s="140"/>
    </row>
    <row r="963">
      <c r="D963" s="13"/>
      <c r="E963" s="182"/>
      <c r="G963" s="122"/>
      <c r="H963" s="182"/>
      <c r="I963" s="13"/>
      <c r="J963" s="13"/>
      <c r="L963" s="140"/>
      <c r="M963" s="140"/>
    </row>
    <row r="964">
      <c r="D964" s="13"/>
      <c r="E964" s="182"/>
      <c r="G964" s="122"/>
      <c r="H964" s="182"/>
      <c r="I964" s="13"/>
      <c r="J964" s="13"/>
      <c r="L964" s="140"/>
      <c r="M964" s="140"/>
    </row>
    <row r="965">
      <c r="D965" s="13"/>
      <c r="E965" s="182"/>
      <c r="G965" s="122"/>
      <c r="H965" s="182"/>
      <c r="I965" s="13"/>
      <c r="J965" s="13"/>
      <c r="L965" s="140"/>
      <c r="M965" s="140"/>
    </row>
    <row r="966">
      <c r="D966" s="13"/>
      <c r="E966" s="182"/>
      <c r="G966" s="122"/>
      <c r="H966" s="182"/>
      <c r="I966" s="13"/>
      <c r="J966" s="13"/>
      <c r="L966" s="140"/>
      <c r="M966" s="140"/>
    </row>
    <row r="967">
      <c r="D967" s="13"/>
      <c r="E967" s="182"/>
      <c r="G967" s="122"/>
      <c r="H967" s="182"/>
      <c r="I967" s="13"/>
      <c r="J967" s="13"/>
      <c r="L967" s="140"/>
      <c r="M967" s="140"/>
    </row>
    <row r="968">
      <c r="D968" s="13"/>
      <c r="E968" s="182"/>
      <c r="G968" s="122"/>
      <c r="H968" s="182"/>
      <c r="I968" s="13"/>
      <c r="J968" s="13"/>
      <c r="L968" s="140"/>
      <c r="M968" s="140"/>
    </row>
    <row r="969">
      <c r="D969" s="13"/>
      <c r="E969" s="182"/>
      <c r="G969" s="122"/>
      <c r="H969" s="182"/>
      <c r="I969" s="13"/>
      <c r="J969" s="13"/>
      <c r="L969" s="140"/>
      <c r="M969" s="140"/>
    </row>
    <row r="970">
      <c r="D970" s="13"/>
      <c r="E970" s="182"/>
      <c r="G970" s="122"/>
      <c r="H970" s="182"/>
      <c r="I970" s="13"/>
      <c r="J970" s="13"/>
      <c r="L970" s="140"/>
      <c r="M970" s="140"/>
    </row>
    <row r="971">
      <c r="D971" s="13"/>
      <c r="E971" s="182"/>
      <c r="G971" s="122"/>
      <c r="H971" s="182"/>
      <c r="I971" s="13"/>
      <c r="J971" s="13"/>
      <c r="L971" s="140"/>
      <c r="M971" s="140"/>
    </row>
    <row r="972">
      <c r="D972" s="13"/>
      <c r="E972" s="182"/>
      <c r="G972" s="122"/>
      <c r="H972" s="182"/>
      <c r="I972" s="13"/>
      <c r="J972" s="13"/>
      <c r="L972" s="140"/>
      <c r="M972" s="140"/>
    </row>
    <row r="973">
      <c r="D973" s="13"/>
      <c r="E973" s="182"/>
      <c r="G973" s="122"/>
      <c r="H973" s="182"/>
      <c r="I973" s="13"/>
      <c r="J973" s="13"/>
      <c r="L973" s="140"/>
      <c r="M973" s="140"/>
    </row>
    <row r="974">
      <c r="D974" s="13"/>
      <c r="E974" s="182"/>
      <c r="G974" s="122"/>
      <c r="H974" s="182"/>
      <c r="I974" s="13"/>
      <c r="J974" s="13"/>
      <c r="L974" s="140"/>
      <c r="M974" s="140"/>
    </row>
    <row r="975">
      <c r="D975" s="13"/>
      <c r="E975" s="182"/>
      <c r="G975" s="122"/>
      <c r="H975" s="182"/>
      <c r="I975" s="13"/>
      <c r="J975" s="13"/>
      <c r="L975" s="140"/>
      <c r="M975" s="140"/>
    </row>
    <row r="976">
      <c r="D976" s="13"/>
      <c r="E976" s="182"/>
      <c r="G976" s="122"/>
      <c r="H976" s="182"/>
      <c r="I976" s="13"/>
      <c r="J976" s="13"/>
      <c r="L976" s="140"/>
      <c r="M976" s="140"/>
    </row>
    <row r="977">
      <c r="D977" s="13"/>
      <c r="E977" s="182"/>
      <c r="G977" s="122"/>
      <c r="H977" s="182"/>
      <c r="I977" s="13"/>
      <c r="J977" s="13"/>
      <c r="L977" s="140"/>
      <c r="M977" s="140"/>
    </row>
    <row r="978">
      <c r="D978" s="13"/>
      <c r="E978" s="182"/>
      <c r="G978" s="122"/>
      <c r="H978" s="182"/>
      <c r="I978" s="13"/>
      <c r="J978" s="13"/>
      <c r="L978" s="140"/>
      <c r="M978" s="140"/>
    </row>
    <row r="979">
      <c r="D979" s="13"/>
      <c r="E979" s="182"/>
      <c r="G979" s="122"/>
      <c r="H979" s="182"/>
      <c r="I979" s="13"/>
      <c r="J979" s="13"/>
      <c r="L979" s="140"/>
      <c r="M979" s="140"/>
    </row>
    <row r="980">
      <c r="D980" s="13"/>
      <c r="E980" s="182"/>
      <c r="G980" s="122"/>
      <c r="H980" s="182"/>
      <c r="I980" s="13"/>
      <c r="J980" s="13"/>
      <c r="L980" s="140"/>
      <c r="M980" s="140"/>
    </row>
    <row r="981">
      <c r="D981" s="13"/>
      <c r="E981" s="182"/>
      <c r="G981" s="122"/>
      <c r="H981" s="182"/>
      <c r="I981" s="13"/>
      <c r="J981" s="13"/>
      <c r="L981" s="140"/>
      <c r="M981" s="140"/>
    </row>
    <row r="982">
      <c r="D982" s="13"/>
      <c r="E982" s="182"/>
      <c r="G982" s="122"/>
      <c r="H982" s="182"/>
      <c r="I982" s="13"/>
      <c r="J982" s="13"/>
      <c r="L982" s="140"/>
      <c r="M982" s="140"/>
    </row>
    <row r="983">
      <c r="D983" s="13"/>
      <c r="E983" s="182"/>
      <c r="G983" s="122"/>
      <c r="H983" s="182"/>
      <c r="I983" s="13"/>
      <c r="J983" s="13"/>
      <c r="L983" s="140"/>
      <c r="M983" s="140"/>
    </row>
    <row r="984">
      <c r="D984" s="13"/>
      <c r="E984" s="182"/>
      <c r="G984" s="122"/>
      <c r="H984" s="182"/>
      <c r="I984" s="13"/>
      <c r="J984" s="13"/>
      <c r="L984" s="140"/>
      <c r="M984" s="140"/>
    </row>
    <row r="985">
      <c r="D985" s="13"/>
      <c r="E985" s="182"/>
      <c r="G985" s="122"/>
      <c r="H985" s="182"/>
      <c r="I985" s="13"/>
      <c r="J985" s="13"/>
      <c r="L985" s="140"/>
      <c r="M985" s="140"/>
    </row>
    <row r="986">
      <c r="D986" s="13"/>
      <c r="E986" s="182"/>
      <c r="G986" s="122"/>
      <c r="H986" s="182"/>
      <c r="I986" s="13"/>
      <c r="J986" s="13"/>
      <c r="L986" s="140"/>
      <c r="M986" s="140"/>
    </row>
    <row r="987">
      <c r="D987" s="13"/>
      <c r="E987" s="182"/>
      <c r="G987" s="122"/>
      <c r="H987" s="182"/>
      <c r="I987" s="13"/>
      <c r="J987" s="13"/>
      <c r="L987" s="140"/>
      <c r="M987" s="140"/>
    </row>
    <row r="988">
      <c r="D988" s="13"/>
      <c r="E988" s="182"/>
      <c r="G988" s="122"/>
      <c r="H988" s="182"/>
      <c r="I988" s="13"/>
      <c r="J988" s="13"/>
      <c r="L988" s="140"/>
      <c r="M988" s="140"/>
    </row>
    <row r="989">
      <c r="D989" s="13"/>
      <c r="E989" s="182"/>
      <c r="G989" s="122"/>
      <c r="H989" s="182"/>
      <c r="I989" s="13"/>
      <c r="J989" s="13"/>
      <c r="L989" s="140"/>
      <c r="M989" s="140"/>
    </row>
    <row r="990">
      <c r="D990" s="13"/>
      <c r="E990" s="182"/>
      <c r="G990" s="122"/>
      <c r="H990" s="182"/>
      <c r="I990" s="13"/>
      <c r="J990" s="13"/>
      <c r="L990" s="140"/>
      <c r="M990" s="140"/>
    </row>
    <row r="991">
      <c r="D991" s="13"/>
      <c r="E991" s="182"/>
      <c r="G991" s="122"/>
      <c r="H991" s="182"/>
      <c r="I991" s="13"/>
      <c r="J991" s="13"/>
      <c r="L991" s="140"/>
      <c r="M991" s="140"/>
    </row>
    <row r="992">
      <c r="D992" s="13"/>
      <c r="E992" s="182"/>
      <c r="G992" s="122"/>
      <c r="H992" s="182"/>
      <c r="I992" s="13"/>
      <c r="J992" s="13"/>
      <c r="L992" s="140"/>
      <c r="M992" s="140"/>
    </row>
    <row r="993">
      <c r="D993" s="13"/>
      <c r="E993" s="182"/>
      <c r="G993" s="122"/>
      <c r="H993" s="182"/>
      <c r="I993" s="13"/>
      <c r="J993" s="13"/>
      <c r="L993" s="140"/>
      <c r="M993" s="140"/>
    </row>
  </sheetData>
  <customSheetViews>
    <customSheetView guid="{AA74A519-B95B-49EF-8B25-E9D3BF3B0FDD}" filter="1" showAutoFilter="1">
      <autoFilter ref="$A$2:$R$63"/>
    </customSheetView>
    <customSheetView guid="{AA74A519-B95B-49EF-8B25-E9D3BF3B0FDD}" filter="1" showAutoFilter="1">
      <autoFilter ref="$A$2:$M$63"/>
    </customSheetView>
  </customSheetViews>
  <mergeCells count="18">
    <mergeCell ref="A3:A7"/>
    <mergeCell ref="A8:A14"/>
    <mergeCell ref="A15:A20"/>
    <mergeCell ref="A21:A22"/>
    <mergeCell ref="A23:A26"/>
    <mergeCell ref="A27:A29"/>
    <mergeCell ref="A30:A33"/>
    <mergeCell ref="A53:A54"/>
    <mergeCell ref="A55:A56"/>
    <mergeCell ref="A57:A59"/>
    <mergeCell ref="A60:A62"/>
    <mergeCell ref="A34:A36"/>
    <mergeCell ref="A37:A38"/>
    <mergeCell ref="A39:A41"/>
    <mergeCell ref="A42:A46"/>
    <mergeCell ref="A47:A48"/>
    <mergeCell ref="A49:A50"/>
    <mergeCell ref="A51:A52"/>
  </mergeCells>
  <conditionalFormatting sqref="K3:M993">
    <cfRule type="expression" dxfId="1" priority="1" stopIfTrue="1">
      <formula>$K3="1 - Insuffisant"</formula>
    </cfRule>
  </conditionalFormatting>
  <conditionalFormatting sqref="K3:M993">
    <cfRule type="expression" dxfId="2" priority="2" stopIfTrue="1">
      <formula>$K3="2 - Émergent"</formula>
    </cfRule>
  </conditionalFormatting>
  <conditionalFormatting sqref="K3:M993">
    <cfRule type="expression" dxfId="3" priority="3" stopIfTrue="1">
      <formula>$K3="3 - Intermédiaire"</formula>
    </cfRule>
  </conditionalFormatting>
  <conditionalFormatting sqref="K3:M993">
    <cfRule type="expression" dxfId="4" priority="4" stopIfTrue="1">
      <formula>$K3="4 - Confirmé"</formula>
    </cfRule>
  </conditionalFormatting>
  <conditionalFormatting sqref="K3:M993">
    <cfRule type="expression" dxfId="5" priority="5" stopIfTrue="1">
      <formula>$K3="5 - Optimal"</formula>
    </cfRule>
  </conditionalFormatting>
  <conditionalFormatting sqref="K3:M993">
    <cfRule type="expression" dxfId="6" priority="6" stopIfTrue="1">
      <formula>$K3="Non applicable"</formula>
    </cfRule>
  </conditionalFormatting>
  <conditionalFormatting sqref="K3:M62">
    <cfRule type="expression" dxfId="1" priority="7">
      <formula>$K3=1</formula>
    </cfRule>
  </conditionalFormatting>
  <conditionalFormatting sqref="K3:M62">
    <cfRule type="expression" dxfId="2" priority="8">
      <formula>$K3=2</formula>
    </cfRule>
  </conditionalFormatting>
  <conditionalFormatting sqref="K3:M62">
    <cfRule type="expression" dxfId="3" priority="9">
      <formula>$K3=3</formula>
    </cfRule>
  </conditionalFormatting>
  <conditionalFormatting sqref="K3:M62">
    <cfRule type="expression" dxfId="4" priority="10">
      <formula>$K3=4</formula>
    </cfRule>
  </conditionalFormatting>
  <conditionalFormatting sqref="K3:M62">
    <cfRule type="expression" dxfId="5" priority="11">
      <formula>$K3=5</formula>
    </cfRule>
  </conditionalFormatting>
  <conditionalFormatting sqref="K3:M62">
    <cfRule type="expression" dxfId="6" priority="12">
      <formula>$K3="NA"</formula>
    </cfRule>
  </conditionalFormatting>
  <conditionalFormatting sqref="D37:J38">
    <cfRule type="notContainsBlanks" dxfId="17" priority="13">
      <formula>LEN(TRIM(D37))&gt;0</formula>
    </cfRule>
  </conditionalFormatting>
  <dataValidations>
    <dataValidation type="list" allowBlank="1" showErrorMessage="1" sqref="K4:K62">
      <formula1>"1 - Insuffisant,2 - Émergent,3 - Intermédiaire,4 - Confirmé,5 - Optimal,Non applicable"</formula1>
    </dataValidation>
    <dataValidation type="list" allowBlank="1" showErrorMessage="1" sqref="K3">
      <formula1>"1 - Insuffisant,2 - Émergent,3 - Intermédiaire,4 - Confirmé,5 - Optimal,Non applicable"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8"/>
  </cols>
  <sheetData>
    <row r="1"/>
    <row r="2"/>
    <row r="3"/>
    <row r="4"/>
    <row r="5"/>
    <row r="6"/>
    <row r="7"/>
    <row r="8"/>
    <row r="9"/>
    <row r="10"/>
    <row r="11"/>
    <row r="12"/>
    <row r="13"/>
    <row r="14"/>
    <row r="15"/>
    <row r="16"/>
    <row r="17"/>
    <row r="18"/>
    <row r="19"/>
    <row r="20"/>
    <row r="21"/>
    <row r="22">
      <c r="A22" s="6"/>
      <c r="B22" s="182"/>
      <c r="C22" s="182"/>
      <c r="D22" s="182"/>
      <c r="E22" s="182"/>
      <c r="F22" s="182"/>
      <c r="G22" s="182"/>
      <c r="H22" s="182"/>
    </row>
  </sheetData>
  <customSheetViews>
    <customSheetView guid="{AA74A519-B95B-49EF-8B25-E9D3BF3B0FDD}" filter="1" showAutoFilter="1">
      <autoFilter ref="$A$2:$H$20"/>
    </customSheetView>
    <customSheetView guid="{AA74A519-B95B-49EF-8B25-E9D3BF3B0FDD}" filter="1" showAutoFilter="1">
      <autoFilter ref="$A$2:$H$20"/>
    </customSheetView>
  </customSheetViews>
  <drawing r:id="rId3"/>
  <tableParts count="1">
    <tablePart r:id="rId5"/>
  </tableParts>
  <extLst>
    <ext uri="{3A4CF648-6AED-40f4-86FF-DC5316D8AED3}">
      <x14:slicerList>
        <x14:slicer r:id="rId6"/>
      </x14:slicerList>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96" t="s">
        <v>855</v>
      </c>
      <c r="B1" s="220" t="s">
        <v>856</v>
      </c>
    </row>
    <row r="2">
      <c r="A2" s="183" t="s">
        <v>407</v>
      </c>
      <c r="B2" s="221">
        <f>COUNTIF('CIS Controls'!K:K, "*"&amp;A2)</f>
        <v>6</v>
      </c>
    </row>
    <row r="3">
      <c r="A3" s="183" t="s">
        <v>408</v>
      </c>
      <c r="B3" s="221">
        <f>COUNTIF('CIS Controls'!K:K, "*"&amp;A3)</f>
        <v>13</v>
      </c>
    </row>
    <row r="4">
      <c r="A4" s="183" t="s">
        <v>409</v>
      </c>
      <c r="B4" s="221">
        <f>COUNTIF('CIS Controls'!K:K, "*"&amp;A4)</f>
        <v>21</v>
      </c>
    </row>
    <row r="5">
      <c r="A5" s="183" t="s">
        <v>410</v>
      </c>
      <c r="B5" s="221">
        <f>COUNTIF('CIS Controls'!K:K, "*"&amp;A5)</f>
        <v>5</v>
      </c>
    </row>
    <row r="6">
      <c r="A6" s="183" t="s">
        <v>411</v>
      </c>
      <c r="B6" s="221">
        <f>COUNTIF('CIS Controls'!K:K, "*"&amp;A6)</f>
        <v>9</v>
      </c>
    </row>
    <row r="7">
      <c r="A7" s="183" t="s">
        <v>16</v>
      </c>
      <c r="B7" s="228">
        <f>COUNTIF('CIS Controls'!K:K, "*"&amp;A7)</f>
        <v>6</v>
      </c>
    </row>
    <row r="21">
      <c r="A21" s="313" t="s">
        <v>857</v>
      </c>
      <c r="B21" s="314" t="s">
        <v>858</v>
      </c>
    </row>
    <row r="22">
      <c r="A22" s="315">
        <v>1.0</v>
      </c>
      <c r="B22" s="314">
        <f>IFERROR(__xludf.DUMMYFUNCTION("IFERROR(AVERAGE(FILTER(VALUE(LEFT('CIS Controls'!$K$3:$K1000, 1)), 'CIS Controls'!$C$3:$C1000=A22, 'CIS Controls'!$K$3:$K1000&lt;&gt;""Non applicable"", 'CIS Controls'!$K$3:$K1000&lt;&gt;"""")), 0)"),2.75)</f>
        <v>2.75</v>
      </c>
    </row>
    <row r="23">
      <c r="A23" s="316">
        <v>2.0</v>
      </c>
      <c r="B23" s="314">
        <f>IFERROR(__xludf.DUMMYFUNCTION("IFERROR(AVERAGE(FILTER(VALUE(LEFT('CIS Controls'!$K$3:$K1000, 1)), 'CIS Controls'!$C$3:$C1000=A23, 'CIS Controls'!$K$3:$K1000&lt;&gt;""Non applicable"", 'CIS Controls'!$K$3:$K1000&lt;&gt;"""")), 0)"),4.0)</f>
        <v>4</v>
      </c>
    </row>
    <row r="24">
      <c r="A24" s="316">
        <v>3.0</v>
      </c>
      <c r="B24" s="314">
        <f>IFERROR(__xludf.DUMMYFUNCTION("IFERROR(AVERAGE(FILTER(VALUE(LEFT('CIS Controls'!$K$3:$K1000, 1)), 'CIS Controls'!$C$3:$C1000=A24, 'CIS Controls'!$K$3:$K1000&lt;&gt;""Non applicable"", 'CIS Controls'!$K$3:$K1000&lt;&gt;"""")), 0)"),3.1666666666666665)</f>
        <v>3.166666667</v>
      </c>
    </row>
    <row r="25">
      <c r="A25" s="317">
        <v>4.0</v>
      </c>
      <c r="B25" s="314">
        <f>IFERROR(__xludf.DUMMYFUNCTION("IFERROR(AVERAGE(FILTER(VALUE(LEFT('CIS Controls'!$K$3:$K1000, 1)), 'CIS Controls'!$C$3:$C1000=A25, 'CIS Controls'!$K$3:$K1000&lt;&gt;""Non applicable"", 'CIS Controls'!$K$3:$K1000&lt;&gt;"""")), 0)"),2.5)</f>
        <v>2.5</v>
      </c>
    </row>
    <row r="26">
      <c r="A26" s="318">
        <v>5.0</v>
      </c>
      <c r="B26" s="314">
        <f>IFERROR(__xludf.DUMMYFUNCTION("IFERROR(AVERAGE(FILTER(VALUE(LEFT('CIS Controls'!$K$3:$K1000, 1)), 'CIS Controls'!$C$3:$C1000=A26, 'CIS Controls'!$K$3:$K1000&lt;&gt;""Non applicable"", 'CIS Controls'!$K$3:$K1000&lt;&gt;"""")), 0)"),2.75)</f>
        <v>2.75</v>
      </c>
    </row>
    <row r="27">
      <c r="A27" s="318">
        <v>6.0</v>
      </c>
      <c r="B27" s="314">
        <f>IFERROR(__xludf.DUMMYFUNCTION("IFERROR(AVERAGE(FILTER(VALUE(LEFT('CIS Controls'!$K$3:$K1000, 1)), 'CIS Controls'!$C$3:$C1000=A27, 'CIS Controls'!$K$3:$K1000&lt;&gt;""Non applicable"", 'CIS Controls'!$K$3:$K1000&lt;&gt;"""")), 0)"),2.0)</f>
        <v>2</v>
      </c>
      <c r="I27" s="319"/>
      <c r="J27" s="319"/>
      <c r="K27" s="319"/>
      <c r="L27" s="319"/>
      <c r="M27" s="319"/>
      <c r="N27" s="319"/>
      <c r="O27" s="319"/>
      <c r="P27" s="319"/>
    </row>
    <row r="28">
      <c r="A28" s="318">
        <v>7.0</v>
      </c>
      <c r="B28" s="314">
        <f>IFERROR(__xludf.DUMMYFUNCTION("IFERROR(AVERAGE(FILTER(VALUE(LEFT('CIS Controls'!$K$3:$K1000, 1)), 'CIS Controls'!$C$3:$C1000=A28, 'CIS Controls'!$K$3:$K1000&lt;&gt;""Non applicable"", 'CIS Controls'!$K$3:$K1000&lt;&gt;"""")), 0)"),3.0)</f>
        <v>3</v>
      </c>
      <c r="I28" s="319"/>
      <c r="J28" s="319"/>
      <c r="K28" s="319"/>
      <c r="L28" s="319"/>
      <c r="M28" s="319"/>
      <c r="N28" s="319"/>
      <c r="O28" s="319"/>
      <c r="P28" s="319"/>
    </row>
    <row r="29">
      <c r="A29" s="318">
        <v>8.0</v>
      </c>
      <c r="B29" s="314">
        <f>IFERROR(__xludf.DUMMYFUNCTION("IFERROR(AVERAGE(FILTER(VALUE(LEFT('CIS Controls'!$K$3:$K1000, 1)), 'CIS Controls'!$C$3:$C1000=A29, 'CIS Controls'!$K$3:$K1000&lt;&gt;""Non applicable"", 'CIS Controls'!$K$3:$K1000&lt;&gt;"""")), 0)"),3.3333333333333335)</f>
        <v>3.333333333</v>
      </c>
      <c r="I29" s="320"/>
    </row>
    <row r="30">
      <c r="A30" s="318">
        <v>9.0</v>
      </c>
      <c r="B30" s="314">
        <f>IFERROR(__xludf.DUMMYFUNCTION("IFERROR(AVERAGE(FILTER(VALUE(LEFT('CIS Controls'!$K$3:$K1000, 1)), 'CIS Controls'!$C$3:$C1000=A30, 'CIS Controls'!$K$3:$K1000&lt;&gt;""Non applicable"", 'CIS Controls'!$K$3:$K1000&lt;&gt;"""")), 0)"),3.5)</f>
        <v>3.5</v>
      </c>
    </row>
    <row r="31">
      <c r="A31" s="318">
        <v>10.0</v>
      </c>
      <c r="B31" s="314">
        <f>IFERROR(__xludf.DUMMYFUNCTION("IFERROR(AVERAGE(FILTER(VALUE(LEFT('CIS Controls'!$K$3:$K1000, 1)), 'CIS Controls'!$C$3:$C1000=A31, 'CIS Controls'!$K$3:$K1000&lt;&gt;""Non applicable"", 'CIS Controls'!$K$3:$K1000&lt;&gt;"""")), 0)"),4.0)</f>
        <v>4</v>
      </c>
      <c r="I31" s="319"/>
    </row>
    <row r="32">
      <c r="A32" s="318">
        <v>11.0</v>
      </c>
      <c r="B32" s="314">
        <f>IFERROR(__xludf.DUMMYFUNCTION("IFERROR(AVERAGE(FILTER(VALUE(LEFT('CIS Controls'!$K$3:$K1000, 1)), 'CIS Controls'!$C$3:$C1000=A32, 'CIS Controls'!$K$3:$K1000&lt;&gt;""Non applicable"", 'CIS Controls'!$K$3:$K1000&lt;&gt;"""")), 0)"),2.8)</f>
        <v>2.8</v>
      </c>
      <c r="I32" s="319"/>
    </row>
    <row r="33">
      <c r="A33" s="318">
        <v>12.0</v>
      </c>
      <c r="B33" s="314">
        <f>IFERROR(__xludf.DUMMYFUNCTION("IFERROR(AVERAGE(FILTER(VALUE(LEFT('CIS Controls'!$K$3:$K1000, 1)), 'CIS Controls'!$C$3:$C1000=A33, 'CIS Controls'!$K$3:$K1000&lt;&gt;""Non applicable"", 'CIS Controls'!$K$3:$K1000&lt;&gt;"""")), 0)"),3.0)</f>
        <v>3</v>
      </c>
      <c r="I33" s="319"/>
    </row>
    <row r="34">
      <c r="A34" s="318">
        <v>13.0</v>
      </c>
      <c r="B34" s="314">
        <f>IFERROR(__xludf.DUMMYFUNCTION("IFERROR(AVERAGE(FILTER(VALUE(LEFT('CIS Controls'!$K$3:$K1000, 1)), 'CIS Controls'!$C$3:$C1000=A34, 'CIS Controls'!$K$3:$K1000&lt;&gt;""Non applicable"", 'CIS Controls'!$K$3:$K1000&lt;&gt;"""")), 0)"),2.0)</f>
        <v>2</v>
      </c>
      <c r="I34" s="319"/>
      <c r="J34" s="322"/>
      <c r="K34" s="322"/>
    </row>
    <row r="35">
      <c r="A35" s="318">
        <v>14.0</v>
      </c>
      <c r="B35" s="314">
        <f>IFERROR(__xludf.DUMMYFUNCTION("IFERROR(AVERAGE(FILTER(VALUE(LEFT('CIS Controls'!$K$3:$K1000, 1)), 'CIS Controls'!$C$3:$C1000=A35, 'CIS Controls'!$K$3:$K1000&lt;&gt;""Non applicable"", 'CIS Controls'!$K$3:$K1000&lt;&gt;"""")), 0)"),1.5)</f>
        <v>1.5</v>
      </c>
    </row>
    <row r="36">
      <c r="A36" s="318">
        <v>15.0</v>
      </c>
      <c r="B36" s="314">
        <f>IFERROR(__xludf.DUMMYFUNCTION("IFERROR(AVERAGE(FILTER(VALUE(LEFT('CIS Controls'!$K$3:$K1000, 1)), 'CIS Controls'!$C$3:$C1000=A36, 'CIS Controls'!$K$3:$K1000&lt;&gt;""Non applicable"", 'CIS Controls'!$K$3:$K1000&lt;&gt;"""")), 0)"),3.0)</f>
        <v>3</v>
      </c>
    </row>
    <row r="37">
      <c r="A37" s="318">
        <v>16.0</v>
      </c>
      <c r="B37" s="314">
        <f>IFERROR(__xludf.DUMMYFUNCTION("IFERROR(AVERAGE(FILTER(VALUE(LEFT('CIS Controls'!$K$3:$K1000, 1)), 'CIS Controls'!$C$3:$C1000=A37, 'CIS Controls'!$K$3:$K1000&lt;&gt;""Non applicable"", 'CIS Controls'!$K$3:$K1000&lt;&gt;"""")), 0)"),2.0)</f>
        <v>2</v>
      </c>
    </row>
    <row r="38">
      <c r="A38" s="318">
        <v>17.0</v>
      </c>
      <c r="B38" s="314">
        <f>IFERROR(__xludf.DUMMYFUNCTION("IFERROR(AVERAGE(FILTER(VALUE(LEFT('CIS Controls'!$K$3:$K1000, 1)), 'CIS Controls'!$C$3:$C1000=A38, 'CIS Controls'!$K$3:$K1000&lt;&gt;""Non applicable"", 'CIS Controls'!$K$3:$K1000&lt;&gt;"""")), 0)"),3.5)</f>
        <v>3.5</v>
      </c>
    </row>
    <row r="39">
      <c r="A39" s="318">
        <v>18.0</v>
      </c>
      <c r="B39" s="314">
        <f>IFERROR(__xludf.DUMMYFUNCTION("IFERROR(AVERAGE(FILTER(VALUE(LEFT('CIS Controls'!$K$3:$K1000, 1)), 'CIS Controls'!$C$3:$C1000=A39, 'CIS Controls'!$K$3:$K1000&lt;&gt;""Non applicable"", 'CIS Controls'!$K$3:$K1000&lt;&gt;"""")), 0)"),2.5)</f>
        <v>2.5</v>
      </c>
    </row>
  </sheetData>
  <printOptions gridLines="1" horizontalCentered="1"/>
  <pageMargins bottom="0.75" footer="0.0" header="0.0" left="0.7" right="0.7" top="0.75"/>
  <pageSetup fitToHeight="0" paperSize="9" cellComments="atEnd" orientation="landscape" pageOrder="overThenDown"/>
  <drawing r:id="rId2"/>
  <extLst>
    <ext uri="{3A4CF648-6AED-40f4-86FF-DC5316D8AED3}">
      <x14:slicerList>
        <x14:slicer r:id="rId3"/>
      </x14:slicerList>
    </ext>
  </extLst>
</worksheet>
</file>